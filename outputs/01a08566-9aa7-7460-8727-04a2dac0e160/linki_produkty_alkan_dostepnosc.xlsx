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34d89ddade4b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kty Alkan" sheetId="1" r:id="R27d7145578f9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"/>
    <x:numFmt numFmtId="202" formatCode="0"/>
  </x:numFmts>
  <x:fonts count="6">
    <x:font>
      <x:sz val="11"/>
      <x:name val="Carlito"/>
    </x:font>
    <x:font>
      <x:b/>
      <x:sz val="15"/>
      <x:color rgb="FF1F2937"/>
      <x:name val="Arial"/>
    </x:font>
    <x:font>
      <x:i/>
      <x:sz val="10"/>
      <x:color rgb="FF5B6472"/>
      <x:name val="Arial"/>
    </x:font>
    <x:font>
      <x:b/>
      <x:sz val="10"/>
      <x:color rgb="FF263238"/>
      <x:name val="Arial"/>
    </x:font>
    <x:font>
      <x:sz val="10"/>
      <x:color rgb="FF263238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DF3F8"/>
      </x:patternFill>
    </x:fill>
  </x:fills>
  <x:borders count="5">
    <x:border/>
    <x:border>
      <x:bottom style="thin">
        <x:color rgb="FFD7DEE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wrapText="1"/>
    </x:xf>
    <x:xf numFmtId="0" fontId="5" fillId="2" borderId="3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b/>
        <x:color rgb="FF2E5D26"/>
      </x:font>
      <x:fill>
        <x:patternFill patternType="solid">
          <x:bgColor rgb="FFE2F0D9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b6190b51c40b7" /><Relationship Type="http://schemas.openxmlformats.org/officeDocument/2006/relationships/theme" Target="/xl/theme/theme1.xml" Id="R9c5322e797bd4f9c" /><Relationship Type="http://schemas.openxmlformats.org/officeDocument/2006/relationships/sharedStrings" Target="/xl/sharedStrings.xml" Id="Raaf20b4eb718493d" /><Relationship Type="http://schemas.openxmlformats.org/officeDocument/2006/relationships/worksheet" Target="/xl/worksheets/sheet1.xml" Id="R27d7145578f94837" /></Relationships>
</file>

<file path=xl/tables/table1.xml><?xml version="1.0" encoding="utf-8"?>
<x:table xmlns:x="http://schemas.openxmlformats.org/spreadsheetml/2006/main" id="1" name="AlkanProductStockTable" displayName="AlkanProductStockTable" ref="A8:J99" headerRowCount="1" totalsRowCount="0" totalsRowShown="0">
  <x:autoFilter ref="A8:J99"/>
  <x:tableColumns count="10">
    <x:tableColumn id="1" name="URL produktu"/>
    <x:tableColumn id="2" name="Nazwa produktu"/>
    <x:tableColumn id="3" name="Liczba wystąpień URL w kolumnie"/>
    <x:tableColumn id="4" name="Łączny wolumen/mies."/>
    <x:tableColumn id="5" name="Łączny ruch obecny"/>
    <x:tableColumn id="6" name="Dostępność produktu"/>
    <x:tableColumn id="7" name="Stan widoczny na stronie"/>
    <x:tableColumn id="8" name="Informacja o stanie"/>
    <x:tableColumn id="9" name="Słowa kluczowe przypisane do URL"/>
    <x:tableColumn id="10" name="HTT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dcc18eb5714a5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52.5" hidden="0" customWidth="1"/>
    <x:col min="2" max="2" width="45" hidden="0" customWidth="1"/>
    <x:col min="3" max="3" width="16.25" hidden="0" customWidth="1"/>
    <x:col min="4" max="4" width="15.630000114440918" hidden="0" customWidth="1"/>
    <x:col min="5" max="5" width="15" hidden="0" customWidth="1"/>
    <x:col min="6" max="6" width="25.6299991607666" hidden="0" customWidth="1"/>
    <x:col min="7" max="7" width="14.380000114440918" hidden="0" customWidth="1"/>
    <x:col min="8" max="8" width="40" hidden="0" customWidth="1"/>
    <x:col min="9" max="9" width="62.5" hidden="0" customWidth="1"/>
    <x:col min="10" max="10" width="8.75" hidden="0" customWidth="1"/>
  </x:cols>
  <x:sheetData>
    <x:row r="2" ht="26" customHeight="1">
      <x:c r="A2" s="2" t="str">
        <x:v>Linki do produktów Alkan i dostępność</x:v>
      </x:c>
    </x:row>
    <x:row r="3">
      <x:c r="A3" s="4" t="str">
        <x:v>Źródło fraz: tabela przekazana przez użytkownika. Stany: karty produktów alkan.pl, sprawdzone 2026-09-11 12:21:45+02:00.</x:v>
      </x:c>
    </x:row>
    <x:row r="4" ht="3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</x:row>
    <x:row r="5" ht="28" customHeight="1">
      <x:c r="A5" s="11" t="str">
        <x:f>"Unikalne produkty: "&amp;ROWS(A9:A99)</x:f>
        <x:v>Unikalne produkty: 91</x:v>
      </x:c>
      <x:c r="B5" s="11" t="str">
        <x:f>"Wystąpienia linków: "&amp;SUM(C9:C99)</x:f>
        <x:v>Wystąpienia linków: 142</x:v>
      </x:c>
      <x:c r="C5" s="11" t="str">
        <x:f>"Dostępne: "&amp;COUNTIFS(F9:F99,"Dostępny")</x:f>
        <x:v>Dostępne: 74</x:v>
      </x:c>
      <x:c r="D5" s="11"/>
      <x:c r="E5" s="11" t="str">
        <x:f>"Brak stanu 24H: "&amp;COUNTIFS(F9:F99,"Brak stanu 24H – na zamówienie")</x:f>
        <x:v>Brak stanu 24H: 16</x:v>
      </x:c>
      <x:c r="F5" s="11"/>
      <x:c r="G5" s="11" t="str">
        <x:f>"Brak stanu: "&amp;COUNTIFS(F9:F99,"Brak stanu magazynowego")</x:f>
        <x:v>Brak stanu: 1</x:v>
      </x:c>
      <x:c r="H5" s="11"/>
      <x:c r="I5" s="11" t="str">
        <x:f>"Stan widoczny: "&amp;COUNTIFS(G9:G99,"Tak")&amp;"/"&amp;ROWS(A9:A99)</x:f>
        <x:v>Stan widoczny: 91/91</x:v>
      </x:c>
      <x:c r="J5" s="11"/>
    </x:row>
    <x:row r="6" ht="28" customHeight="1">
      <x:c r="A6" s="12" t="str">
        <x:f>"Łączny wolumen/mies.: "&amp;SUM(D9:D99)</x:f>
        <x:v>Łączny wolumen/mies.: 53400</x:v>
      </x:c>
      <x:c r="B6" s="12" t="str">
        <x:f>"Łączny ruch obecny: "&amp;ROUND(SUM(E9:E99),1)</x:f>
        <x:v>Łączny ruch obecny: 279.9</x:v>
      </x:c>
      <x:c r="C6" s="12" t="str">
        <x:v>Sprawdzono: 2026-09-11 12:21:45+02:00</x:v>
      </x:c>
      <x:c r="D6" s="12"/>
      <x:c r="E6" s="12"/>
      <x:c r="F6" s="12"/>
      <x:c r="G6" s="12"/>
      <x:c r="H6" s="12"/>
      <x:c r="I6" s="12"/>
      <x:c r="J6" s="12"/>
    </x:row>
    <x:row r="8" ht="38" customHeight="1">
      <x:c r="A8" s="25" t="str">
        <x:v>URL produktu</x:v>
      </x:c>
      <x:c r="B8" s="26" t="str">
        <x:v>Nazwa produktu</x:v>
      </x:c>
      <x:c r="C8" s="26" t="str">
        <x:v>Liczba wystąpień URL w kolumnie</x:v>
      </x:c>
      <x:c r="D8" s="26" t="str">
        <x:v>Łączny wolumen/mies.</x:v>
      </x:c>
      <x:c r="E8" s="26" t="str">
        <x:v>Łączny ruch obecny</x:v>
      </x:c>
      <x:c r="F8" s="26" t="str">
        <x:v>Dostępność produktu</x:v>
      </x:c>
      <x:c r="G8" s="26" t="str">
        <x:v>Stan widoczny na stronie</x:v>
      </x:c>
      <x:c r="H8" s="26" t="str">
        <x:v>Informacja o stanie</x:v>
      </x:c>
      <x:c r="I8" s="26" t="str">
        <x:v>Słowa kluczowe przypisane do URL</x:v>
      </x:c>
      <x:c r="J8" s="27" t="str">
        <x:v>HTTP</x:v>
      </x:c>
    </x:row>
    <x:row r="9" ht="48" customHeight="1">
      <x:c r="A9" s="29" t="str">
        <x:v>https://alkan.pl/sklep/przewod-plaski-ydyp-3x25-zo-450-750v-krazek-100-m-2/</x:v>
      </x:c>
      <x:c r="B9" s="29" t="str">
        <x:v>Przewód płaski YDYp 3×2,5 żo 450/750V krążek 100 m</x:v>
      </x:c>
      <x:c r="C9" s="32" t="n">
        <x:v>9</x:v>
      </x:c>
      <x:c r="D9" s="32" t="n">
        <x:v>5140</x:v>
      </x:c>
      <x:c r="E9" s="33" t="n">
        <x:v>53.7</x:v>
      </x:c>
      <x:c r="F9" s="31" t="str">
        <x:v>Dostępny</x:v>
      </x:c>
      <x:c r="G9" s="31" t="str">
        <x:v>Tak</x:v>
      </x:c>
      <x:c r="H9" s="29" t="str">
        <x:v>Produkt na zamówienie; Główny: 119 szt., 24H</x:v>
      </x:c>
      <x:c r="I9" s="29" t="str">
        <x:v>ydyp 3x2 5; przewód 3x2 5 leroy merlin; kabel ydyp 3x2 5; kabel 3x2 5 cena za metr; przewód elektryczny 3x2 5; przewody 3x2 5 cena; cena kabla 3x2 5; przewód 3 fazowy; kabel podtynkowy 3x2 5</x:v>
      </x:c>
      <x:c r="J9" s="34" t="n">
        <x:v>200</x:v>
      </x:c>
    </x:row>
    <x:row r="10" ht="48" customHeight="1">
      <x:c r="A10" s="29" t="str">
        <x:v>https://alkan.pl/sklep/licznik-3-fazowy-zuzycia-energi-elektrycznej-mid/</x:v>
      </x:c>
      <x:c r="B10" s="29" t="str">
        <x:v>Licznik 3-fazowy zużycia energii elektrycznej WZE-3 F&amp;F</x:v>
      </x:c>
      <x:c r="C10" s="32" t="n">
        <x:v>7</x:v>
      </x:c>
      <x:c r="D10" s="32" t="n">
        <x:v>2470</x:v>
      </x:c>
      <x:c r="E10" s="33" t="n">
        <x:v>0</x:v>
      </x:c>
      <x:c r="F10" s="31" t="str">
        <x:v>Dostępny</x:v>
      </x:c>
      <x:c r="G10" s="31" t="str">
        <x:v>Tak</x:v>
      </x:c>
      <x:c r="H10" s="29" t="str">
        <x:v>Produkt na zamówienie; Główny: 10 szt., 24H</x:v>
      </x:c>
      <x:c r="I10" s="29" t="str">
        <x:v>licznik trójfazowy; licznik prądu 3 fazowy; podlicznik elektryczny 3 fazowy; licznik trójfazowy podlicznik energii prądu 3 faz; licznik elektryczny 3 fazowy; licznik energii 3 fazowy; trójfazowy licznik energii elektrycznej</x:v>
      </x:c>
      <x:c r="J10" s="34" t="n">
        <x:v>200</x:v>
      </x:c>
    </x:row>
    <x:row r="11" ht="48" customHeight="1">
      <x:c r="A11" s="29" t="str">
        <x:v>https://alkan.pl/sklep/x-yky-zo-5x10-kabel-nkt/</x:v>
      </x:c>
      <x:c r="B11" s="29" t="str">
        <x:v>Kabel energetyczny ziemny YKY żo 5×10 1m 112271065D0500</x:v>
      </x:c>
      <x:c r="C11" s="32" t="n">
        <x:v>5</x:v>
      </x:c>
      <x:c r="D11" s="32" t="n">
        <x:v>2650</x:v>
      </x:c>
      <x:c r="E11" s="33" t="n">
        <x:v>2.6</x:v>
      </x:c>
      <x:c r="F11" s="31" t="str">
        <x:v>Dostępny</x:v>
      </x:c>
      <x:c r="G11" s="31" t="str">
        <x:v>Tak</x:v>
      </x:c>
      <x:c r="H11" s="29" t="str">
        <x:v>Produkt na zamówienie; Główny: 1142 m, 24H</x:v>
      </x:c>
      <x:c r="I11" s="29" t="str">
        <x:v>yky; kabel 5 żyłowy; kabel siłowy ziemny; 5x10mm2; kabel pięciożyłowy</x:v>
      </x:c>
      <x:c r="J11" s="34" t="n">
        <x:v>200</x:v>
      </x:c>
    </x:row>
    <x:row r="12" ht="48" customHeight="1">
      <x:c r="A12" s="29" t="str">
        <x:v>https://alkan.pl/sklep/kabel-ziemny-yky-4x16-06-1kv-1m/</x:v>
      </x:c>
      <x:c r="B12" s="29" t="str">
        <x:v>Kabel ziemny YKY 4×16 0,6/1kV 1m</x:v>
      </x:c>
      <x:c r="C12" s="32" t="n">
        <x:v>5</x:v>
      </x:c>
      <x:c r="D12" s="32" t="n">
        <x:v>1590</x:v>
      </x:c>
      <x:c r="E12" s="33" t="n">
        <x:v>0</x:v>
      </x:c>
      <x:c r="F12" s="31" t="str">
        <x:v>Dostępny</x:v>
      </x:c>
      <x:c r="G12" s="31" t="str">
        <x:v>Tak</x:v>
      </x:c>
      <x:c r="H12" s="29" t="str">
        <x:v>Produkt na zamówienie; Główny: 730 m, 24H</x:v>
      </x:c>
      <x:c r="I12" s="29" t="str">
        <x:v>yky 4x16; kabel 4x16 aluminium; kabel aluminiowy 4x16; kabel yky 4x16; kabel ziemny 4x16 aluminium</x:v>
      </x:c>
      <x:c r="J12" s="34" t="n">
        <x:v>200</x:v>
      </x:c>
    </x:row>
    <x:row r="13" ht="48" customHeight="1">
      <x:c r="A13" s="29" t="str">
        <x:v>https://alkan.pl/sklep/rura-karbowana-dwuwarstwowa-peszel-arot-32-25-50m-krazek/</x:v>
      </x:c>
      <x:c r="B13" s="29" t="str">
        <x:v>Rura karbowana dwuwarstwowa peszel AROT 32/25 50m krążek 5903760236434</x:v>
      </x:c>
      <x:c r="C13" s="32" t="n">
        <x:v>4</x:v>
      </x:c>
      <x:c r="D13" s="32" t="n">
        <x:v>4980</x:v>
      </x:c>
      <x:c r="E13" s="33" t="n">
        <x:v>0</x:v>
      </x:c>
      <x:c r="F13" s="31" t="str">
        <x:v>Dostępny</x:v>
      </x:c>
      <x:c r="G13" s="31" t="str">
        <x:v>Tak</x:v>
      </x:c>
      <x:c r="H13" s="29" t="str">
        <x:v>Produkt na zamówienie; Główny: 31 szt., 24H</x:v>
      </x:c>
      <x:c r="I13" s="29" t="str">
        <x:v>arot; rury arota; peszel arota; aroty</x:v>
      </x:c>
      <x:c r="J13" s="34" t="n">
        <x:v>200</x:v>
      </x:c>
    </x:row>
    <x:row r="14" ht="48" customHeight="1">
      <x:c r="A14" s="29" t="str">
        <x:v>https://alkan.pl/sklep/yky-zo-5x4-kabel-nkt/</x:v>
      </x:c>
      <x:c r="B14" s="29" t="str">
        <x:v>Kabel energetyczny ziemny YKY żo 5×4 1m 112271058D0500</x:v>
      </x:c>
      <x:c r="C14" s="32" t="n">
        <x:v>4</x:v>
      </x:c>
      <x:c r="D14" s="32" t="n">
        <x:v>2730</x:v>
      </x:c>
      <x:c r="E14" s="33" t="n">
        <x:v>0</x:v>
      </x:c>
      <x:c r="F14" s="31" t="str">
        <x:v>Dostępny</x:v>
      </x:c>
      <x:c r="G14" s="31" t="str">
        <x:v>Tak</x:v>
      </x:c>
      <x:c r="H14" s="29" t="str">
        <x:v>Produkt na zamówienie; Główny: 942 m, 24H</x:v>
      </x:c>
      <x:c r="I14" s="29" t="str">
        <x:v>przewód 5x4; yky 5x4; kabel ziemny 5x4 castorama; kabel 5x4 cena</x:v>
      </x:c>
      <x:c r="J14" s="34" t="n">
        <x:v>200</x:v>
      </x:c>
    </x:row>
    <x:row r="15" ht="48" customHeight="1">
      <x:c r="A15" s="29" t="str">
        <x:v>https://alkan.pl/sklep/kabel-ziemny-ykyzo-0-6-1-kv-5x6/</x:v>
      </x:c>
      <x:c r="B15" s="29" t="str">
        <x:v>Kabel ziemny YKYżo 0.6/1 kV 5×6 1m 112271059D0500</x:v>
      </x:c>
      <x:c r="C15" s="32" t="n">
        <x:v>4</x:v>
      </x:c>
      <x:c r="D15" s="32" t="n">
        <x:v>2250</x:v>
      </x:c>
      <x:c r="E15" s="33" t="n">
        <x:v>0</x:v>
      </x:c>
      <x:c r="F15" s="31" t="str">
        <x:v>Dostępny</x:v>
      </x:c>
      <x:c r="G15" s="31" t="str">
        <x:v>Tak</x:v>
      </x:c>
      <x:c r="H15" s="29" t="str">
        <x:v>Produkt na zamówienie; Główny: 541 m, 24H</x:v>
      </x:c>
      <x:c r="I15" s="29" t="str">
        <x:v>kabel 5x6; przewód 5x6; 5x6; kabel ziemny 5x6 castorama</x:v>
      </x:c>
      <x:c r="J15" s="34" t="n">
        <x:v>200</x:v>
      </x:c>
    </x:row>
    <x:row r="16" ht="48" customHeight="1">
      <x:c r="A16" s="29" t="str">
        <x:v>https://alkan.pl/sklep/yky-zo-5x16-kabel-energetyczny-ziemny-nkt/</x:v>
      </x:c>
      <x:c r="B16" s="29" t="str">
        <x:v>Kabel energetyczny ziemny YKY ŻO 5X16 1m 112194015</x:v>
      </x:c>
      <x:c r="C16" s="32" t="n">
        <x:v>4</x:v>
      </x:c>
      <x:c r="D16" s="32" t="n">
        <x:v>1930</x:v>
      </x:c>
      <x:c r="E16" s="33" t="n">
        <x:v>8.5</x:v>
      </x:c>
      <x:c r="F16" s="31" t="str">
        <x:v>Dostępny</x:v>
      </x:c>
      <x:c r="G16" s="31" t="str">
        <x:v>Tak</x:v>
      </x:c>
      <x:c r="H16" s="29" t="str">
        <x:v>Produkt na zamówienie; Główny: 112 m, 24H</x:v>
      </x:c>
      <x:c r="I16" s="29" t="str">
        <x:v>yky5x16; 5x16mm2; kabel yky 5x16; 16 x 5</x:v>
      </x:c>
      <x:c r="J16" s="34" t="n">
        <x:v>200</x:v>
      </x:c>
    </x:row>
    <x:row r="17" ht="48" customHeight="1">
      <x:c r="A17" s="29" t="str">
        <x:v>https://alkan.pl/sklep/przewod-elektryczny-h05vv-f-owy-zo-3x25-500v-bialy-50m/</x:v>
      </x:c>
      <x:c r="B17" s="29" t="str">
        <x:v>Przewód elektryczny H05VV-F OWY żo 3×2,5 500V biały 50m</x:v>
      </x:c>
      <x:c r="C17" s="32" t="n">
        <x:v>3</x:v>
      </x:c>
      <x:c r="D17" s="32" t="n">
        <x:v>1000</x:v>
      </x:c>
      <x:c r="E17" s="33" t="n">
        <x:v>0</x:v>
      </x:c>
      <x:c r="F17" s="31" t="str">
        <x:v>Dostępny</x:v>
      </x:c>
      <x:c r="G17" s="31" t="str">
        <x:v>Tak</x:v>
      </x:c>
      <x:c r="H17" s="29" t="str">
        <x:v>Produkt na zamówienie; Główny: 44 szt., 24H</x:v>
      </x:c>
      <x:c r="I17" s="29" t="str">
        <x:v>h05vv f; przewód owy 3x2 5; h05vv f co oznacza</x:v>
      </x:c>
      <x:c r="J17" s="34" t="n">
        <x:v>200</x:v>
      </x:c>
    </x:row>
    <x:row r="18" ht="48" customHeight="1">
      <x:c r="A18" s="29" t="str">
        <x:v>https://alkan.pl/sklep/licznik-1-fazowy-zuzycia-energi-elektrycznej-mid/</x:v>
      </x:c>
      <x:c r="B18" s="29" t="str">
        <x:v>Licznik 1-fazowy zużycia energii elektrycznej WZE-1 F&amp;F</x:v>
      </x:c>
      <x:c r="C18" s="32" t="n">
        <x:v>3</x:v>
      </x:c>
      <x:c r="D18" s="32" t="n">
        <x:v>980</x:v>
      </x:c>
      <x:c r="E18" s="33" t="n">
        <x:v>0</x:v>
      </x:c>
      <x:c r="F18" s="31" t="str">
        <x:v>Dostępny</x:v>
      </x:c>
      <x:c r="G18" s="31" t="str">
        <x:v>Tak</x:v>
      </x:c>
      <x:c r="H18" s="29" t="str">
        <x:v>Produkt na zamówienie; Główny: 10 szt., 24H</x:v>
      </x:c>
      <x:c r="I18" s="29" t="str">
        <x:v>licznik energii elektrycznej 1 fazowy; licznik 1 fazowy; licznik energii 1 fazowy</x:v>
      </x:c>
      <x:c r="J18" s="34" t="n">
        <x:v>200</x:v>
      </x:c>
    </x:row>
    <x:row r="19" ht="48" customHeight="1">
      <x:c r="A19" s="29" t="str">
        <x:v>https://alkan.pl/sklep/yky-zo-4x15-kabel/</x:v>
      </x:c>
      <x:c r="B19" s="29" t="str">
        <x:v>Kabel energetyczny ziemny YKY zo 4X1,5 1m 112271056D0500</x:v>
      </x:c>
      <x:c r="C19" s="32" t="n">
        <x:v>2</x:v>
      </x:c>
      <x:c r="D19" s="32" t="n">
        <x:v>1020</x:v>
      </x:c>
      <x:c r="E19" s="33" t="n">
        <x:v>0</x:v>
      </x:c>
      <x:c r="F19" s="31" t="str">
        <x:v>Dostępny</x:v>
      </x:c>
      <x:c r="G19" s="31" t="str">
        <x:v>Tak</x:v>
      </x:c>
      <x:c r="H19" s="29" t="str">
        <x:v>Produkt na zamówienie; Główny: 857 m, 24H</x:v>
      </x:c>
      <x:c r="I19" s="29" t="str">
        <x:v>przewód 4x1 5; yky 4x1 5</x:v>
      </x:c>
      <x:c r="J19" s="34" t="n">
        <x:v>200</x:v>
      </x:c>
    </x:row>
    <x:row r="20" ht="48" customHeight="1">
      <x:c r="A20" s="29" t="str">
        <x:v>https://alkan.pl/sklep/eps-102-przedluzacz-1gn-2m-z-u-bialy/</x:v>
      </x:c>
      <x:c r="B20" s="29" t="str">
        <x:v>Przedłużacz 1 gniazdo 2M z uziemieniem biały Elgotech EPS-102</x:v>
      </x:c>
      <x:c r="C20" s="32" t="n">
        <x:v>2</x:v>
      </x:c>
      <x:c r="D20" s="32" t="n">
        <x:v>730</x:v>
      </x:c>
      <x:c r="E20" s="33" t="n">
        <x:v>9.1</x:v>
      </x:c>
      <x:c r="F20" s="31" t="str">
        <x:v>Dostępny</x:v>
      </x:c>
      <x:c r="G20" s="31" t="str">
        <x:v>Tak</x:v>
      </x:c>
      <x:c r="H20" s="29" t="str">
        <x:v>Główny: 2 szt., 24H</x:v>
      </x:c>
      <x:c r="I20" s="29" t="str">
        <x:v>przedłużacz z uziemieniem; przedłużacz biały</x:v>
      </x:c>
      <x:c r="J20" s="34" t="n">
        <x:v>200</x:v>
      </x:c>
    </x:row>
    <x:row r="21" ht="48" customHeight="1">
      <x:c r="A21" s="29" t="str">
        <x:v>https://alkan.pl/sklep/usmp-3-3x25-uchwyt-szybkiego-montazu-100-szt/</x:v>
      </x:c>
      <x:c r="B21" s="29" t="str">
        <x:v>Uchwyt szybkiego montażu płaski USMP‑3 YDYp 3×2,5 mm 16.2 /100szt./</x:v>
      </x:c>
      <x:c r="C21" s="32" t="n">
        <x:v>2</x:v>
      </x:c>
      <x:c r="D21" s="32" t="n">
        <x:v>710</x:v>
      </x:c>
      <x:c r="E21" s="33" t="n">
        <x:v>5.8</x:v>
      </x:c>
      <x:c r="F21" s="31" t="str">
        <x:v>Dostępny</x:v>
      </x:c>
      <x:c r="G21" s="31" t="str">
        <x:v>Tak</x:v>
      </x:c>
      <x:c r="H21" s="29" t="str">
        <x:v>Produkt na zamówienie; Główny: 234 szt., 24H</x:v>
      </x:c>
      <x:c r="I21" s="29" t="str">
        <x:v>usmp; usmp 3</x:v>
      </x:c>
      <x:c r="J21" s="34" t="n">
        <x:v>200</x:v>
      </x:c>
    </x:row>
    <x:row r="22" ht="48" customHeight="1">
      <x:c r="A22" s="29" t="str">
        <x:v>https://alkan.pl/sklep/czujnik-ruchu-dr-08-bialy-p-t-do-puszki-fi-60-ff/</x:v>
      </x:c>
      <x:c r="B22" s="29" t="str">
        <x:v>Czujnik ruchu PIR F&amp;F DR-08 podtynkowy do puszki</x:v>
      </x:c>
      <x:c r="C22" s="32" t="n">
        <x:v>2</x:v>
      </x:c>
      <x:c r="D22" s="32" t="n">
        <x:v>580</x:v>
      </x:c>
      <x:c r="E22" s="33" t="n">
        <x:v>0</x:v>
      </x:c>
      <x:c r="F22" s="31" t="str">
        <x:v>Dostępny</x:v>
      </x:c>
      <x:c r="G22" s="31" t="str">
        <x:v>Tak</x:v>
      </x:c>
      <x:c r="H22" s="29" t="str">
        <x:v>Produkt na zamówienie; Główny: 3 szt., 24H</x:v>
      </x:c>
      <x:c r="I22" s="29" t="str">
        <x:v>czujnik ruchu do puszki; czujnik ruchu podtynkowy</x:v>
      </x:c>
      <x:c r="J22" s="34" t="n">
        <x:v>200</x:v>
      </x:c>
    </x:row>
    <x:row r="23" ht="48" customHeight="1">
      <x:c r="A23" s="29" t="str">
        <x:v>https://alkan.pl/sklep/zarowka-mari-led-a60-e27-15w-840-1521lm-edo/</x:v>
      </x:c>
      <x:c r="B23" s="29" t="str">
        <x:v>Żarówka MARI LED E27 15W 4000K neutralna NW 1521lm EDO777502</x:v>
      </x:c>
      <x:c r="C23" s="32" t="n">
        <x:v>2</x:v>
      </x:c>
      <x:c r="D23" s="32" t="n">
        <x:v>580</x:v>
      </x:c>
      <x:c r="E23" s="33" t="n">
        <x:v>0</x:v>
      </x:c>
      <x:c r="F23" s="31" t="str">
        <x:v>Dostępny</x:v>
      </x:c>
      <x:c r="G23" s="31" t="str">
        <x:v>Tak</x:v>
      </x:c>
      <x:c r="H23" s="29" t="str">
        <x:v>Główny: 1 szt., 24H</x:v>
      </x:c>
      <x:c r="I23" s="29" t="str">
        <x:v>żarówka 15 watt; żarówka 15w</x:v>
      </x:c>
      <x:c r="J23" s="34" t="n">
        <x:v>200</x:v>
      </x:c>
    </x:row>
    <x:row r="24" ht="48" customHeight="1">
      <x:c r="A24" s="29" t="str">
        <x:v>https://alkan.pl/sklep/seal-511-syntetyczna-masa-uszczelniajaca-w-tubie/</x:v>
      </x:c>
      <x:c r="B24" s="29" t="str">
        <x:v>Masa uszczelniająca syntetyczna do puszek w tubie SEAL 511 AS-SEAL000-0000310</x:v>
      </x:c>
      <x:c r="C24" s="32" t="n">
        <x:v>2</x:v>
      </x:c>
      <x:c r="D24" s="32" t="n">
        <x:v>500</x:v>
      </x:c>
      <x:c r="E24" s="33" t="n">
        <x:v>0</x:v>
      </x:c>
      <x:c r="F24" s="31" t="str">
        <x:v>Brak stanu 24H – na zamówienie</x:v>
      </x:c>
      <x:c r="G24" s="31" t="str">
        <x:v>Tak</x:v>
      </x:c>
      <x:c r="H24" s="29" t="str">
        <x:v>Produkt na zamówienie; Główny: 0 szt.</x:v>
      </x:c>
      <x:c r="I24" s="29" t="str">
        <x:v>seal 511; anticor seal 511</x:v>
      </x:c>
      <x:c r="J24" s="34" t="n">
        <x:v>200</x:v>
      </x:c>
    </x:row>
    <x:row r="25" ht="48" customHeight="1">
      <x:c r="A25" s="29" t="str">
        <x:v>https://alkan.pl/sklep/peszel-rura-gietka-karbowana-32-25-uv-pvc-320n-50m/</x:v>
      </x:c>
      <x:c r="B25" s="29" t="str">
        <x:v>Peszel rura giętka karbowana 32/25 UV PVC 320N 50m 05.106</x:v>
      </x:c>
      <x:c r="C25" s="32" t="n">
        <x:v>2</x:v>
      </x:c>
      <x:c r="D25" s="32" t="n">
        <x:v>470</x:v>
      </x:c>
      <x:c r="E25" s="33" t="n">
        <x:v>0</x:v>
      </x:c>
      <x:c r="F25" s="31" t="str">
        <x:v>Brak stanu 24H – na zamówienie</x:v>
      </x:c>
      <x:c r="G25" s="31" t="str">
        <x:v>Tak</x:v>
      </x:c>
      <x:c r="H25" s="29" t="str">
        <x:v>Produkt na zamówienie; Główny: 0 szt.</x:v>
      </x:c>
      <x:c r="I25" s="29" t="str">
        <x:v>peszel uv; peszel 32mm</x:v>
      </x:c>
      <x:c r="J25" s="34" t="n">
        <x:v>200</x:v>
      </x:c>
    </x:row>
    <x:row r="26" ht="48" customHeight="1">
      <x:c r="A26" s="29" t="str">
        <x:v>https://alkan.pl/sklep/srp-01-sterownik-rolet-dopuszkowy-przewodowy/</x:v>
      </x:c>
      <x:c r="B26" s="29" t="str">
        <x:v>Sterownik rolet dopuszkowy przewodowy typ: SRP-01 Zamel EXT10000126</x:v>
      </x:c>
      <x:c r="C26" s="32" t="n">
        <x:v>2</x:v>
      </x:c>
      <x:c r="D26" s="32" t="n">
        <x:v>400</x:v>
      </x:c>
      <x:c r="E26" s="33" t="n">
        <x:v>0</x:v>
      </x:c>
      <x:c r="F26" s="31" t="str">
        <x:v>Dostępny</x:v>
      </x:c>
      <x:c r="G26" s="31" t="str">
        <x:v>Tak</x:v>
      </x:c>
      <x:c r="H26" s="29" t="str">
        <x:v>Produkt na zamówienie; Główny: 6 szt., 24H</x:v>
      </x:c>
      <x:c r="I26" s="29" t="str">
        <x:v>srp 01; zamel srp 01</x:v>
      </x:c>
      <x:c r="J26" s="34" t="n">
        <x:v>200</x:v>
      </x:c>
    </x:row>
    <x:row r="27" ht="48" customHeight="1">
      <x:c r="A27" s="29" t="str">
        <x:v>https://alkan.pl/sklep/yky-zo-3x6-kabel/</x:v>
      </x:c>
      <x:c r="B27" s="29" t="str">
        <x:v>Kabel energetyczny ziemny YKY żo 3X6 0,6/1kV 1m 112271068D0500</x:v>
      </x:c>
      <x:c r="C27" s="32" t="n">
        <x:v>2</x:v>
      </x:c>
      <x:c r="D27" s="32" t="n">
        <x:v>400</x:v>
      </x:c>
      <x:c r="E27" s="33" t="n">
        <x:v>4</x:v>
      </x:c>
      <x:c r="F27" s="31" t="str">
        <x:v>Brak stanu 24H – na zamówienie</x:v>
      </x:c>
      <x:c r="G27" s="31" t="str">
        <x:v>Tak</x:v>
      </x:c>
      <x:c r="H27" s="29" t="str">
        <x:v>Produkt na zamówienie; Główny: 0 m</x:v>
      </x:c>
      <x:c r="I27" s="29" t="str">
        <x:v>yky 3x6; kabel 3x6mm2</x:v>
      </x:c>
      <x:c r="J27" s="34" t="n">
        <x:v>200</x:v>
      </x:c>
    </x:row>
    <x:row r="28" ht="48" customHeight="1">
      <x:c r="A28" s="29" t="str">
        <x:v>https://alkan.pl/sklep/bednarka-30x4-50kg-ocynkowana-ogniowo-1m096kg-52m-pn-en-iec-62561-2-cynkmal/</x:v>
      </x:c>
      <x:c r="B28" s="29" t="str">
        <x:v>Bednarka 30×4 50kg ocynkowana ogniowo 1m=0,96kg 52m PN-EN IEC 62561-2 CYNKMAL</x:v>
      </x:c>
      <x:c r="C28" s="32" t="n">
        <x:v>2</x:v>
      </x:c>
      <x:c r="D28" s="32" t="n">
        <x:v>370</x:v>
      </x:c>
      <x:c r="E28" s="33" t="n">
        <x:v>0</x:v>
      </x:c>
      <x:c r="F28" s="31" t="str">
        <x:v>Brak stanu 24H – na zamówienie</x:v>
      </x:c>
      <x:c r="G28" s="31" t="str">
        <x:v>Tak</x:v>
      </x:c>
      <x:c r="H28" s="29" t="str">
        <x:v>Produkt na zamówienie; Główny: 0 szt.</x:v>
      </x:c>
      <x:c r="I28" s="29" t="str">
        <x:v>bednarka ocynkowana 30x4; 30x 4</x:v>
      </x:c>
      <x:c r="J28" s="34" t="n">
        <x:v>200</x:v>
      </x:c>
    </x:row>
    <x:row r="29" ht="48" customHeight="1">
      <x:c r="A29" s="29" t="str">
        <x:v>https://alkan.pl/sklep/przewod-instalacyjny-linka-lgy-1x10-750v-zolto-zielony-1m/</x:v>
      </x:c>
      <x:c r="B29" s="29" t="str">
        <x:v>Przewód instalacyjny linka LGY H07V‑K 1×10 750V żółto-zielony 1m</x:v>
      </x:c>
      <x:c r="C29" s="32" t="n">
        <x:v>2</x:v>
      </x:c>
      <x:c r="D29" s="32" t="n">
        <x:v>350</x:v>
      </x:c>
      <x:c r="E29" s="33" t="n">
        <x:v>5.8</x:v>
      </x:c>
      <x:c r="F29" s="31" t="str">
        <x:v>Dostępny</x:v>
      </x:c>
      <x:c r="G29" s="31" t="str">
        <x:v>Tak</x:v>
      </x:c>
      <x:c r="H29" s="29" t="str">
        <x:v>Produkt na zamówienie; Główny: 568 m, 24H</x:v>
      </x:c>
      <x:c r="I29" s="29" t="str">
        <x:v>żółto zielony; przewód żółto zielony</x:v>
      </x:c>
      <x:c r="J29" s="34" t="n">
        <x:v>200</x:v>
      </x:c>
    </x:row>
    <x:row r="30" ht="48" customHeight="1">
      <x:c r="A30" s="29" t="str">
        <x:v>https://alkan.pl/sklep/rop-02-2-kanalowy-radiowy-odbiornik-dopuszkowy/</x:v>
      </x:c>
      <x:c r="B30" s="29" t="str">
        <x:v>Radiowy odbiornik dopuszkowy 2-kanałowy typ: ROP-02 Zamel EXF10000050</x:v>
      </x:c>
      <x:c r="C30" s="32" t="n">
        <x:v>2</x:v>
      </x:c>
      <x:c r="D30" s="32" t="n">
        <x:v>350</x:v>
      </x:c>
      <x:c r="E30" s="33" t="n">
        <x:v>0</x:v>
      </x:c>
      <x:c r="F30" s="31" t="str">
        <x:v>Brak stanu 24H – na zamówienie</x:v>
      </x:c>
      <x:c r="G30" s="31" t="str">
        <x:v>Tak</x:v>
      </x:c>
      <x:c r="H30" s="29" t="str">
        <x:v>Produkt na zamówienie; Główny: 0 szt.</x:v>
      </x:c>
      <x:c r="I30" s="29" t="str">
        <x:v>zamel rop 02; rop 02 instrukcja</x:v>
      </x:c>
      <x:c r="J30" s="34" t="n">
        <x:v>200</x:v>
      </x:c>
    </x:row>
    <x:row r="31" ht="48" customHeight="1">
      <x:c r="A31" s="29" t="str">
        <x:v>https://alkan.pl/sklep/kabel-ziemny-yky-0-6-1-kv-2x15/</x:v>
      </x:c>
      <x:c r="B31" s="29" t="str">
        <x:v>Kabel ziemny YKY 0.6/1 kV 2×1,5 1m 112271070D0500</x:v>
      </x:c>
      <x:c r="C31" s="32" t="n">
        <x:v>2</x:v>
      </x:c>
      <x:c r="D31" s="32" t="n">
        <x:v>280</x:v>
      </x:c>
      <x:c r="E31" s="33" t="n">
        <x:v>0</x:v>
      </x:c>
      <x:c r="F31" s="31" t="str">
        <x:v>Dostępny</x:v>
      </x:c>
      <x:c r="G31" s="31" t="str">
        <x:v>Tak</x:v>
      </x:c>
      <x:c r="H31" s="29" t="str">
        <x:v>Produkt na zamówienie; Główny: 395 m, 24H</x:v>
      </x:c>
      <x:c r="I31" s="29" t="str">
        <x:v>kabel ziemny 2x1 5; kabel ziemny 2x1</x:v>
      </x:c>
      <x:c r="J31" s="34" t="n">
        <x:v>200</x:v>
      </x:c>
    </x:row>
    <x:row r="32" ht="48" customHeight="1">
      <x:c r="A32" s="29" t="str">
        <x:v>https://alkan.pl/sklep/przewod-ydy-zo-2x15-450-750v-bialy-elektrokabel-25m/</x:v>
      </x:c>
      <x:c r="B32" s="29" t="str">
        <x:v>Przewód YDY żo 2×1,5 450/750V biały 25m</x:v>
      </x:c>
      <x:c r="C32" s="32" t="n">
        <x:v>1</x:v>
      </x:c>
      <x:c r="D32" s="32" t="n">
        <x:v>1300</x:v>
      </x:c>
      <x:c r="E32" s="33" t="n">
        <x:v>15.4</x:v>
      </x:c>
      <x:c r="F32" s="31" t="str">
        <x:v>Dostępny</x:v>
      </x:c>
      <x:c r="G32" s="31" t="str">
        <x:v>Tak</x:v>
      </x:c>
      <x:c r="H32" s="29" t="str">
        <x:v>Produkt na zamówienie; Główny: 14 szt., 24H</x:v>
      </x:c>
      <x:c r="I32" s="29" t="str">
        <x:v>ydy</x:v>
      </x:c>
      <x:c r="J32" s="34" t="n">
        <x:v>200</x:v>
      </x:c>
    </x:row>
    <x:row r="33" ht="48" customHeight="1">
      <x:c r="A33" s="29" t="str">
        <x:v>https://alkan.pl/sklep/bednarka-25x4-25kg-ocynkowana-ogniowo-1m08-kg-ok-31m-pn-en-iec-62561-2-cynk-mal/</x:v>
      </x:c>
      <x:c r="B33" s="29" t="str">
        <x:v>Bednarka 25×4 25kg ocynkowana ogniowo 1m=0,8 kg ok. 31m PN-EN IEC 62561-2 CYNK-MAL</x:v>
      </x:c>
      <x:c r="C33" s="32" t="n">
        <x:v>1</x:v>
      </x:c>
      <x:c r="D33" s="32" t="n">
        <x:v>1000</x:v>
      </x:c>
      <x:c r="E33" s="33" t="n">
        <x:v>0</x:v>
      </x:c>
      <x:c r="F33" s="31" t="str">
        <x:v>Dostępny</x:v>
      </x:c>
      <x:c r="G33" s="31" t="str">
        <x:v>Tak</x:v>
      </x:c>
      <x:c r="H33" s="29" t="str">
        <x:v>Produkt na zamówienie; Główny: 2 szt., 24H</x:v>
      </x:c>
      <x:c r="I33" s="29" t="str">
        <x:v>bednarka 25x4</x:v>
      </x:c>
      <x:c r="J33" s="34" t="n">
        <x:v>200</x:v>
      </x:c>
    </x:row>
    <x:row r="34" ht="48" customHeight="1">
      <x:c r="A34" s="29" t="str">
        <x:v>https://alkan.pl/sklep/hager-wylacznik-nadpradowy-b-10a-1p-6ka-mbn110e/</x:v>
      </x:c>
      <x:c r="B34" s="29" t="str">
        <x:v>Wyłącznik nadprądowy B10 1P 6kA Hager MBN110E</x:v>
      </x:c>
      <x:c r="C34" s="32" t="n">
        <x:v>1</x:v>
      </x:c>
      <x:c r="D34" s="32" t="n">
        <x:v>880</x:v>
      </x:c>
      <x:c r="E34" s="33" t="n">
        <x:v>13.6</x:v>
      </x:c>
      <x:c r="F34" s="31" t="str">
        <x:v>Dostępny</x:v>
      </x:c>
      <x:c r="G34" s="31" t="str">
        <x:v>Tak</x:v>
      </x:c>
      <x:c r="H34" s="29" t="str">
        <x:v>Produkt na zamówienie; Główny: 325 szt., 24H</x:v>
      </x:c>
      <x:c r="I34" s="29" t="str">
        <x:v>bezpiecznik b10</x:v>
      </x:c>
      <x:c r="J34" s="34" t="n">
        <x:v>200</x:v>
      </x:c>
    </x:row>
    <x:row r="35" ht="48" customHeight="1">
      <x:c r="A35" s="29" t="str">
        <x:v>https://alkan.pl/sklep/przekaznik-bistabilny-ff-bis-411-230v-szyna/</x:v>
      </x:c>
      <x:c r="B35" s="29" t="str">
        <x:v>Przekaźnik bistabilny BIS-411 230V F&amp;F</x:v>
      </x:c>
      <x:c r="C35" s="32" t="n">
        <x:v>1</x:v>
      </x:c>
      <x:c r="D35" s="32" t="n">
        <x:v>880</x:v>
      </x:c>
      <x:c r="E35" s="33" t="n">
        <x:v>24.9</x:v>
      </x:c>
      <x:c r="F35" s="31" t="str">
        <x:v>Dostępny</x:v>
      </x:c>
      <x:c r="G35" s="31" t="str">
        <x:v>Tak</x:v>
      </x:c>
      <x:c r="H35" s="29" t="str">
        <x:v>Produkt na zamówienie; Główny: 3 szt., 24H</x:v>
      </x:c>
      <x:c r="I35" s="29" t="str">
        <x:v>bis 411</x:v>
      </x:c>
      <x:c r="J35" s="34" t="n">
        <x:v>200</x:v>
      </x:c>
    </x:row>
    <x:row r="36" ht="48" customHeight="1">
      <x:c r="A36" s="29" t="str">
        <x:v>https://alkan.pl/sklep/przewod-instalacyjny-ydyzo-450-750-5x6-bialy-1m/</x:v>
      </x:c>
      <x:c r="B36" s="29" t="str">
        <x:v>Przewód instalacyjny YDYżo 450/750 5×6 biały 1m</x:v>
      </x:c>
      <x:c r="C36" s="32" t="n">
        <x:v>1</x:v>
      </x:c>
      <x:c r="D36" s="32" t="n">
        <x:v>880</x:v>
      </x:c>
      <x:c r="E36" s="33" t="n">
        <x:v>19.6</x:v>
      </x:c>
      <x:c r="F36" s="31" t="str">
        <x:v>Dostępny</x:v>
      </x:c>
      <x:c r="G36" s="31" t="str">
        <x:v>Tak</x:v>
      </x:c>
      <x:c r="H36" s="29" t="str">
        <x:v>Produkt na zamówienie; Główny: 2513 m, 24H</x:v>
      </x:c>
      <x:c r="I36" s="29" t="str">
        <x:v>ydyżo 5x6</x:v>
      </x:c>
      <x:c r="J36" s="34" t="n">
        <x:v>200</x:v>
      </x:c>
    </x:row>
    <x:row r="37" ht="48" customHeight="1">
      <x:c r="A37" s="29" t="str">
        <x:v>https://alkan.pl/sklep/przekaznik-czasowy-ff-230v-po-406/</x:v>
      </x:c>
      <x:c r="B37" s="29" t="str">
        <x:v>Przekaźnik czasowy jednofunkcyjny z opóźnionym odpadaniem od 230V 10A PO-406 F&amp;F</x:v>
      </x:c>
      <x:c r="C37" s="32" t="n">
        <x:v>1</x:v>
      </x:c>
      <x:c r="D37" s="32" t="n">
        <x:v>720</x:v>
      </x:c>
      <x:c r="E37" s="33" t="n">
        <x:v>0</x:v>
      </x:c>
      <x:c r="F37" s="31" t="str">
        <x:v>Brak stanu 24H – na zamówienie</x:v>
      </x:c>
      <x:c r="G37" s="31" t="str">
        <x:v>Tak</x:v>
      </x:c>
      <x:c r="H37" s="29" t="str">
        <x:v>Produkt na zamówienie; Główny: 0 szt.</x:v>
      </x:c>
      <x:c r="I37" s="29" t="str">
        <x:v>przekaźnik czasowy 230v</x:v>
      </x:c>
      <x:c r="J37" s="34" t="n">
        <x:v>200</x:v>
      </x:c>
    </x:row>
    <x:row r="38" ht="48" customHeight="1">
      <x:c r="A38" s="29" t="str">
        <x:v>https://alkan.pl/sklep/przewod-instalacyjny-linka-lgy-60-750v-niebieski-100m/</x:v>
      </x:c>
      <x:c r="B38" s="29" t="str">
        <x:v>Przewód instalacyjny linka LGY H07V‑K 6,0 750V niebieski 100m</x:v>
      </x:c>
      <x:c r="C38" s="32" t="n">
        <x:v>1</x:v>
      </x:c>
      <x:c r="D38" s="32" t="n">
        <x:v>720</x:v>
      </x:c>
      <x:c r="E38" s="33" t="n">
        <x:v>0</x:v>
      </x:c>
      <x:c r="F38" s="31" t="str">
        <x:v>Dostępny</x:v>
      </x:c>
      <x:c r="G38" s="31" t="str">
        <x:v>Tak</x:v>
      </x:c>
      <x:c r="H38" s="29" t="str">
        <x:v>Produkt na zamówienie; Główny: 5 szt., 24H</x:v>
      </x:c>
      <x:c r="I38" s="29" t="str">
        <x:v>lgy</x:v>
      </x:c>
      <x:c r="J38" s="34" t="n">
        <x:v>200</x:v>
      </x:c>
    </x:row>
    <x:row r="39" ht="48" customHeight="1">
      <x:c r="A39" s="29" t="str">
        <x:v>https://alkan.pl/sklep/kabel-energetyczny-ziemny-yky-zo-3x4-061kv/</x:v>
      </x:c>
      <x:c r="B39" s="29" t="str">
        <x:v>Kabel energetyczny ziemny YKY ŻO 3×4 0,6/1kV 1m 112271067D0500</x:v>
      </x:c>
      <x:c r="C39" s="32" t="n">
        <x:v>1</x:v>
      </x:c>
      <x:c r="D39" s="32" t="n">
        <x:v>590</x:v>
      </x:c>
      <x:c r="E39" s="33" t="n">
        <x:v>0</x:v>
      </x:c>
      <x:c r="F39" s="31" t="str">
        <x:v>Dostępny</x:v>
      </x:c>
      <x:c r="G39" s="31" t="str">
        <x:v>Tak</x:v>
      </x:c>
      <x:c r="H39" s="29" t="str">
        <x:v>Produkt na zamówienie; Główny: 1535 m, 24H</x:v>
      </x:c>
      <x:c r="I39" s="29" t="str">
        <x:v>yky 3x4</x:v>
      </x:c>
      <x:c r="J39" s="34" t="n">
        <x:v>200</x:v>
      </x:c>
    </x:row>
    <x:row r="40" ht="48" customHeight="1">
      <x:c r="A40" s="29" t="str">
        <x:v>https://alkan.pl/sklep/oprawka-gu10-do-zarowek-halogenowych/</x:v>
      </x:c>
      <x:c r="B40" s="29" t="str">
        <x:v>Oprawka GU10 do żarówek LED 801038</x:v>
      </x:c>
      <x:c r="C40" s="32" t="n">
        <x:v>1</x:v>
      </x:c>
      <x:c r="D40" s="32" t="n">
        <x:v>590</x:v>
      </x:c>
      <x:c r="E40" s="33" t="n">
        <x:v>0</x:v>
      </x:c>
      <x:c r="F40" s="31" t="str">
        <x:v>Dostępny</x:v>
      </x:c>
      <x:c r="G40" s="31" t="str">
        <x:v>Tak</x:v>
      </x:c>
      <x:c r="H40" s="29" t="str">
        <x:v>Produkt na zamówienie; Główny: 509 szt., 24H</x:v>
      </x:c>
      <x:c r="I40" s="29" t="str">
        <x:v>oprawka gu10</x:v>
      </x:c>
      <x:c r="J40" s="34" t="n">
        <x:v>200</x:v>
      </x:c>
    </x:row>
    <x:row r="41" ht="48" customHeight="1">
      <x:c r="A41" s="29" t="str">
        <x:v>https://alkan.pl/sklep/przekaznik-kolejnosci-i-zaniku-faz-ff-ckf-br-10a-1p/</x:v>
      </x:c>
      <x:c r="B41" s="29" t="str">
        <x:v>Przekaźnik Kolejności i Zaniku Faz F&amp;F CKF-BR</x:v>
      </x:c>
      <x:c r="C41" s="32" t="n">
        <x:v>1</x:v>
      </x:c>
      <x:c r="D41" s="32" t="n">
        <x:v>590</x:v>
      </x:c>
      <x:c r="E41" s="33" t="n">
        <x:v>10.6</x:v>
      </x:c>
      <x:c r="F41" s="31" t="str">
        <x:v>Dostępny</x:v>
      </x:c>
      <x:c r="G41" s="31" t="str">
        <x:v>Tak</x:v>
      </x:c>
      <x:c r="H41" s="29" t="str">
        <x:v>Produkt na zamówienie; Główny: 4 szt., 24H</x:v>
      </x:c>
      <x:c r="I41" s="29" t="str">
        <x:v>ckf</x:v>
      </x:c>
      <x:c r="J41" s="34" t="n">
        <x:v>200</x:v>
      </x:c>
    </x:row>
    <x:row r="42" ht="48" customHeight="1">
      <x:c r="A42" s="29" t="str">
        <x:v>https://alkan.pl/sklep/bity-udarowe-ph2-x-50-mm-2-szt/</x:v>
      </x:c>
      <x:c r="B42" s="29" t="str">
        <x:v>Bity udarowe PH2 x 50 mm, 2 szt. 56H519 Graphite</x:v>
      </x:c>
      <x:c r="C42" s="32" t="n">
        <x:v>1</x:v>
      </x:c>
      <x:c r="D42" s="32" t="n">
        <x:v>480</x:v>
      </x:c>
      <x:c r="E42" s="33" t="n">
        <x:v>0</x:v>
      </x:c>
      <x:c r="F42" s="31" t="str">
        <x:v>Brak stanu 24H – na zamówienie</x:v>
      </x:c>
      <x:c r="G42" s="31" t="str">
        <x:v>Tak</x:v>
      </x:c>
      <x:c r="H42" s="29" t="str">
        <x:v>Produkt na zamówienie; Główny: 0 szt.</x:v>
      </x:c>
      <x:c r="I42" s="29" t="str">
        <x:v>bity ph2</x:v>
      </x:c>
      <x:c r="J42" s="34" t="n">
        <x:v>200</x:v>
      </x:c>
    </x:row>
    <x:row r="43" ht="48" customHeight="1">
      <x:c r="A43" s="29" t="str">
        <x:v>https://alkan.pl/sklep/hager-ogranicznik-przepiec-bc-typ-t1t2-mov-4p-tn-s-tt-spa931/</x:v>
      </x:c>
      <x:c r="B43" s="29" t="str">
        <x:v>Ogranicznik przepięć SPD T1+T2 4P TN-S/TT Iimp 50kA In 50kA Up≤1,2kV Hager SPA931</x:v>
      </x:c>
      <x:c r="C43" s="32" t="n">
        <x:v>1</x:v>
      </x:c>
      <x:c r="D43" s="32" t="n">
        <x:v>480</x:v>
      </x:c>
      <x:c r="E43" s="33" t="n">
        <x:v>0</x:v>
      </x:c>
      <x:c r="F43" s="31" t="str">
        <x:v>Dostępny</x:v>
      </x:c>
      <x:c r="G43" s="31" t="str">
        <x:v>Tak</x:v>
      </x:c>
      <x:c r="H43" s="29" t="str">
        <x:v>Produkt na zamówienie; Główny: 50 szt., 24H</x:v>
      </x:c>
      <x:c r="I43" s="29" t="str">
        <x:v>ogranicznik przepięć t1 t2</x:v>
      </x:c>
      <x:c r="J43" s="34" t="n">
        <x:v>200</x:v>
      </x:c>
    </x:row>
    <x:row r="44" ht="48" customHeight="1">
      <x:c r="A44" s="29" t="str">
        <x:v>https://alkan.pl/sklep/hager-rozdzielnica-podtynkowa-golf-4x18-drzwi-pelne-72m-vf418pd/</x:v>
      </x:c>
      <x:c r="B44" s="29" t="str">
        <x:v>Rozdzielnica podtynkowa GOLF 4×18 DRZWI PEŁNE 72M HAGER VF418PD</x:v>
      </x:c>
      <x:c r="C44" s="32" t="n">
        <x:v>1</x:v>
      </x:c>
      <x:c r="D44" s="32" t="n">
        <x:v>480</x:v>
      </x:c>
      <x:c r="E44" s="33" t="n">
        <x:v>8.6</x:v>
      </x:c>
      <x:c r="F44" s="31" t="str">
        <x:v>Dostępny</x:v>
      </x:c>
      <x:c r="G44" s="31" t="str">
        <x:v>Tak</x:v>
      </x:c>
      <x:c r="H44" s="29" t="str">
        <x:v>Główny: 2 szt., 24H</x:v>
      </x:c>
      <x:c r="I44" s="29" t="str">
        <x:v>rozdzielnica podtynkowa 4x18</x:v>
      </x:c>
      <x:c r="J44" s="34" t="n">
        <x:v>200</x:v>
      </x:c>
    </x:row>
    <x:row r="45" ht="48" customHeight="1">
      <x:c r="A45" s="29" t="str">
        <x:v>https://alkan.pl/sklep/kabel-ziemny-ykyzo-0-6-1-kv-3x25-100m/</x:v>
      </x:c>
      <x:c r="B45" s="29" t="str">
        <x:v>Kabel ziemny YKYżo 0.6/1 kV 3×2,5 krążek 100m</x:v>
      </x:c>
      <x:c r="C45" s="32" t="n">
        <x:v>1</x:v>
      </x:c>
      <x:c r="D45" s="32" t="n">
        <x:v>480</x:v>
      </x:c>
      <x:c r="E45" s="33" t="n">
        <x:v>0</x:v>
      </x:c>
      <x:c r="F45" s="31" t="str">
        <x:v>Dostępny</x:v>
      </x:c>
      <x:c r="G45" s="31" t="str">
        <x:v>Tak</x:v>
      </x:c>
      <x:c r="H45" s="29" t="str">
        <x:v>Produkt na zamówienie; Główny: 45 szt., 24H</x:v>
      </x:c>
      <x:c r="I45" s="29" t="str">
        <x:v>kabel yky 3x2 5</x:v>
      </x:c>
      <x:c r="J45" s="34" t="n">
        <x:v>200</x:v>
      </x:c>
    </x:row>
    <x:row r="46" ht="48" customHeight="1">
      <x:c r="A46" s="29" t="str">
        <x:v>https://alkan.pl/sklep/przewod-ognioodporny-hdgszo-3x15-ph90-300-500v/</x:v>
      </x:c>
      <x:c r="B46" s="29" t="str">
        <x:v>Przewód ognioodporny HDGSżo 3×1,5 PH90 300/500V HDGS(ŻO)</x:v>
      </x:c>
      <x:c r="C46" s="32" t="n">
        <x:v>1</x:v>
      </x:c>
      <x:c r="D46" s="32" t="n">
        <x:v>480</x:v>
      </x:c>
      <x:c r="E46" s="33" t="n">
        <x:v>0</x:v>
      </x:c>
      <x:c r="F46" s="31" t="str">
        <x:v>Dostępny</x:v>
      </x:c>
      <x:c r="G46" s="31" t="str">
        <x:v>Tak</x:v>
      </x:c>
      <x:c r="H46" s="29" t="str">
        <x:v>Produkt na zamówienie; Główny: 14 m, 24H</x:v>
      </x:c>
      <x:c r="I46" s="29" t="str">
        <x:v>hdgs</x:v>
      </x:c>
      <x:c r="J46" s="34" t="n">
        <x:v>200</x:v>
      </x:c>
    </x:row>
    <x:row r="47" ht="48" customHeight="1">
      <x:c r="A47" s="29" t="str">
        <x:v>https://alkan.pl/sklep/zasilacz-do-kompletow-choinkowych-12w-timer-ip44/</x:v>
      </x:c>
      <x:c r="B47" s="29" t="str">
        <x:v>Zasilacz do kompletów choinkowych 12W timer IP44 Emos D1ZB05</x:v>
      </x:c>
      <x:c r="C47" s="32" t="n">
        <x:v>1</x:v>
      </x:c>
      <x:c r="D47" s="32" t="n">
        <x:v>480</x:v>
      </x:c>
      <x:c r="E47" s="33" t="n">
        <x:v>34.1</x:v>
      </x:c>
      <x:c r="F47" s="31" t="str">
        <x:v>Dostępny</x:v>
      </x:c>
      <x:c r="G47" s="31" t="str">
        <x:v>Tak</x:v>
      </x:c>
      <x:c r="H47" s="29" t="str">
        <x:v>Produkt na zamówienie; Główny: 77 szt., 24H</x:v>
      </x:c>
      <x:c r="I47" s="29" t="str">
        <x:v>zasilacz do lampek choinkowych</x:v>
      </x:c>
      <x:c r="J47" s="34" t="n">
        <x:v>200</x:v>
      </x:c>
    </x:row>
    <x:row r="48" ht="48" customHeight="1">
      <x:c r="A48" s="29" t="str">
        <x:v>https://alkan.pl/sklep/czujnik-zaniku-i-kolejnosci-faz-ff-ckf/</x:v>
      </x:c>
      <x:c r="B48" s="29" t="str">
        <x:v>Czujnik Zaniku i Kolejności Faz F&amp;F CKF</x:v>
      </x:c>
      <x:c r="C48" s="32" t="n">
        <x:v>1</x:v>
      </x:c>
      <x:c r="D48" s="32" t="n">
        <x:v>390</x:v>
      </x:c>
      <x:c r="E48" s="33" t="n">
        <x:v>0</x:v>
      </x:c>
      <x:c r="F48" s="31" t="str">
        <x:v>Dostępny</x:v>
      </x:c>
      <x:c r="G48" s="31" t="str">
        <x:v>Tak</x:v>
      </x:c>
      <x:c r="H48" s="29" t="str">
        <x:v>Produkt na zamówienie; Główny: 2 szt., 24H</x:v>
      </x:c>
      <x:c r="I48" s="29" t="str">
        <x:v>czujnik kolejności faz</x:v>
      </x:c>
      <x:c r="J48" s="34" t="n">
        <x:v>200</x:v>
      </x:c>
    </x:row>
    <x:row r="49" ht="48" customHeight="1">
      <x:c r="A49" s="29" t="str">
        <x:v>https://alkan.pl/sklep/przekaznik-bistabilny-bis-402-ff-230v-do-puszki/</x:v>
      </x:c>
      <x:c r="B49" s="29" t="str">
        <x:v>Przekaźnik Bistabilny BIS-402 F&amp;F 230V do puszki</x:v>
      </x:c>
      <x:c r="C49" s="32" t="n">
        <x:v>1</x:v>
      </x:c>
      <x:c r="D49" s="32" t="n">
        <x:v>390</x:v>
      </x:c>
      <x:c r="E49" s="33" t="n">
        <x:v>0</x:v>
      </x:c>
      <x:c r="F49" s="31" t="str">
        <x:v>Dostępny</x:v>
      </x:c>
      <x:c r="G49" s="31" t="str">
        <x:v>Tak</x:v>
      </x:c>
      <x:c r="H49" s="29" t="str">
        <x:v>Produkt na zamówienie; Główny: 3 szt., 24H</x:v>
      </x:c>
      <x:c r="I49" s="29" t="str">
        <x:v>przekaźnik bistabilny 230v</x:v>
      </x:c>
      <x:c r="J49" s="34" t="n">
        <x:v>200</x:v>
      </x:c>
    </x:row>
    <x:row r="50" ht="48" customHeight="1">
      <x:c r="A50" s="29" t="str">
        <x:v>https://alkan.pl/sklep/hager-wylacznik-nadpradowy-b-20a-1p-6ka-mbn120e/</x:v>
      </x:c>
      <x:c r="B50" s="29" t="str">
        <x:v>Wyłącznik nadprądowy B20 1P 6kA Hager MBN120E</x:v>
      </x:c>
      <x:c r="C50" s="32" t="n">
        <x:v>1</x:v>
      </x:c>
      <x:c r="D50" s="32" t="n">
        <x:v>320</x:v>
      </x:c>
      <x:c r="E50" s="33" t="n">
        <x:v>0</x:v>
      </x:c>
      <x:c r="F50" s="31" t="str">
        <x:v>Dostępny</x:v>
      </x:c>
      <x:c r="G50" s="31" t="str">
        <x:v>Tak</x:v>
      </x:c>
      <x:c r="H50" s="29" t="str">
        <x:v>Produkt na zamówienie; Główny: 31 szt., 24H</x:v>
      </x:c>
      <x:c r="I50" s="29" t="str">
        <x:v>bezpiecznik b20 jakie obciążenie</x:v>
      </x:c>
      <x:c r="J50" s="34" t="n">
        <x:v>200</x:v>
      </x:c>
    </x:row>
    <x:row r="51" ht="48" customHeight="1">
      <x:c r="A51" s="29" t="str">
        <x:v>https://alkan.pl/sklep/hager-wylacznik-nadpradowy-b-25a-3p-6ka-mbn325e/</x:v>
      </x:c>
      <x:c r="B51" s="29" t="str">
        <x:v>Wyłącznik nadprądowy B25 3P 6kA Hager MBN325E</x:v>
      </x:c>
      <x:c r="C51" s="32" t="n">
        <x:v>1</x:v>
      </x:c>
      <x:c r="D51" s="32" t="n">
        <x:v>320</x:v>
      </x:c>
      <x:c r="E51" s="33" t="n">
        <x:v>4.9</x:v>
      </x:c>
      <x:c r="F51" s="31" t="str">
        <x:v>Dostępny</x:v>
      </x:c>
      <x:c r="G51" s="31" t="str">
        <x:v>Tak</x:v>
      </x:c>
      <x:c r="H51" s="29" t="str">
        <x:v>Produkt na zamówienie; Główny: 36 szt., 24H</x:v>
      </x:c>
      <x:c r="I51" s="29" t="str">
        <x:v>bezpiecznik b 25</x:v>
      </x:c>
      <x:c r="J51" s="34" t="n">
        <x:v>200</x:v>
      </x:c>
    </x:row>
    <x:row r="52" ht="48" customHeight="1">
      <x:c r="A52" s="29" t="str">
        <x:v>https://alkan.pl/sklep/przewod-ydy-4x1-750v-bialy-elektrokabel-50m/</x:v>
      </x:c>
      <x:c r="B52" s="29" t="str">
        <x:v>Przewód YDY 4X1 750V biały 50m</x:v>
      </x:c>
      <x:c r="C52" s="32" t="n">
        <x:v>1</x:v>
      </x:c>
      <x:c r="D52" s="32" t="n">
        <x:v>320</x:v>
      </x:c>
      <x:c r="E52" s="33" t="n">
        <x:v>9.1</x:v>
      </x:c>
      <x:c r="F52" s="31" t="str">
        <x:v>Dostępny</x:v>
      </x:c>
      <x:c r="G52" s="31" t="str">
        <x:v>Tak</x:v>
      </x:c>
      <x:c r="H52" s="29" t="str">
        <x:v>Produkt na zamówienie; Główny: 16 szt., 24H</x:v>
      </x:c>
      <x:c r="I52" s="29" t="str">
        <x:v>przewód 4x1</x:v>
      </x:c>
      <x:c r="J52" s="34" t="n">
        <x:v>200</x:v>
      </x:c>
    </x:row>
    <x:row r="53" ht="48" customHeight="1">
      <x:c r="A53" s="29" t="str">
        <x:v>https://alkan.pl/sklep/zakretarka-udarowa-akumulatorowa-bezszczotkowa/</x:v>
      </x:c>
      <x:c r="B53" s="29" t="str">
        <x:v>Zakrętarka udarowa akumulatorowa bezszczotkowa 58G024 Graphite</x:v>
      </x:c>
      <x:c r="C53" s="32" t="n">
        <x:v>1</x:v>
      </x:c>
      <x:c r="D53" s="32" t="n">
        <x:v>320</x:v>
      </x:c>
      <x:c r="E53" s="33" t="n">
        <x:v>5.8</x:v>
      </x:c>
      <x:c r="F53" s="31" t="str">
        <x:v>Brak stanu 24H – na zamówienie</x:v>
      </x:c>
      <x:c r="G53" s="31" t="str">
        <x:v>Tak</x:v>
      </x:c>
      <x:c r="H53" s="29" t="str">
        <x:v>Produkt na zamówienie; Główny: 0 szt.</x:v>
      </x:c>
      <x:c r="I53" s="29" t="str">
        <x:v>zakrętarka graphite</x:v>
      </x:c>
      <x:c r="J53" s="34" t="n">
        <x:v>200</x:v>
      </x:c>
    </x:row>
    <x:row r="54" ht="48" customHeight="1">
      <x:c r="A54" s="29" t="str">
        <x:v>https://alkan.pl/sklep/zegar-sterujacy-astronomiczny-1-kanalowy-ff-pcz-525-2/</x:v>
      </x:c>
      <x:c r="B54" s="29" t="str">
        <x:v>Zegar sterujący astronomiczny 1-kanałowy F&amp;F PCZ-525.2</x:v>
      </x:c>
      <x:c r="C54" s="32" t="n">
        <x:v>1</x:v>
      </x:c>
      <x:c r="D54" s="32" t="n">
        <x:v>320</x:v>
      </x:c>
      <x:c r="E54" s="33" t="n">
        <x:v>0</x:v>
      </x:c>
      <x:c r="F54" s="31" t="str">
        <x:v>Dostępny</x:v>
      </x:c>
      <x:c r="G54" s="31" t="str">
        <x:v>Tak</x:v>
      </x:c>
      <x:c r="H54" s="29" t="str">
        <x:v>Produkt na zamówienie; Główny: 4 szt., 24H</x:v>
      </x:c>
      <x:c r="I54" s="29" t="str">
        <x:v>zegar astronomiczny f&amp;f</x:v>
      </x:c>
      <x:c r="J54" s="34" t="n">
        <x:v>200</x:v>
      </x:c>
    </x:row>
    <x:row r="55" ht="48" customHeight="1">
      <x:c r="A55" s="29" t="str">
        <x:v>https://alkan.pl/sklep/czujnik-zaniku-fazy-ff-10a-czf-310/</x:v>
      </x:c>
      <x:c r="B55" s="29" t="str">
        <x:v>Czujnik zaniku fazy F&amp;F 10A CZF-310</x:v>
      </x:c>
      <x:c r="C55" s="32" t="n">
        <x:v>1</x:v>
      </x:c>
      <x:c r="D55" s="32" t="n">
        <x:v>260</x:v>
      </x:c>
      <x:c r="E55" s="33" t="n">
        <x:v>0</x:v>
      </x:c>
      <x:c r="F55" s="31" t="str">
        <x:v>Dostępny</x:v>
      </x:c>
      <x:c r="G55" s="31" t="str">
        <x:v>Tak</x:v>
      </x:c>
      <x:c r="H55" s="29" t="str">
        <x:v>Produkt na zamówienie; Główny: 1 szt., 24H</x:v>
      </x:c>
      <x:c r="I55" s="29" t="str">
        <x:v>czf</x:v>
      </x:c>
      <x:c r="J55" s="34" t="n">
        <x:v>200</x:v>
      </x:c>
    </x:row>
    <x:row r="56" ht="48" customHeight="1">
      <x:c r="A56" s="29" t="str">
        <x:v>https://alkan.pl/sklep/dlawik-gumowy-pg-25-d-3412-pawbol/</x:v>
      </x:c>
      <x:c r="B56" s="29" t="str">
        <x:v>Dławik gumowy PG 25 D.3412 PAWBOL</x:v>
      </x:c>
      <x:c r="C56" s="32" t="n">
        <x:v>1</x:v>
      </x:c>
      <x:c r="D56" s="32" t="n">
        <x:v>260</x:v>
      </x:c>
      <x:c r="E56" s="33" t="n">
        <x:v>13.1</x:v>
      </x:c>
      <x:c r="F56" s="31" t="str">
        <x:v>Dostępny</x:v>
      </x:c>
      <x:c r="G56" s="31" t="str">
        <x:v>Tak</x:v>
      </x:c>
      <x:c r="H56" s="29" t="str">
        <x:v>Produkt na zamówienie; Główny: 52 szt., 24H</x:v>
      </x:c>
      <x:c r="I56" s="29" t="str">
        <x:v>dławik gumowy</x:v>
      </x:c>
      <x:c r="J56" s="34" t="n">
        <x:v>200</x:v>
      </x:c>
    </x:row>
    <x:row r="57" ht="48" customHeight="1">
      <x:c r="A57" s="29" t="str">
        <x:v>https://alkan.pl/sklep/drl-12-laserowy-czujnik-ruchu-odleglosci-01-2m/</x:v>
      </x:c>
      <x:c r="B57" s="29" t="str">
        <x:v>Laserowy czujnik odległości aluminium srebrny DRL-12 F&amp;F</x:v>
      </x:c>
      <x:c r="C57" s="32" t="n">
        <x:v>1</x:v>
      </x:c>
      <x:c r="D57" s="32" t="n">
        <x:v>260</x:v>
      </x:c>
      <x:c r="E57" s="33" t="n">
        <x:v>5.8</x:v>
      </x:c>
      <x:c r="F57" s="31" t="str">
        <x:v>Dostępny</x:v>
      </x:c>
      <x:c r="G57" s="31" t="str">
        <x:v>Tak</x:v>
      </x:c>
      <x:c r="H57" s="29" t="str">
        <x:v>Produkt na zamówienie; Główny: 2 szt., 24H</x:v>
      </x:c>
      <x:c r="I57" s="29" t="str">
        <x:v>drl 12</x:v>
      </x:c>
      <x:c r="J57" s="34" t="n">
        <x:v>200</x:v>
      </x:c>
    </x:row>
    <x:row r="58" ht="48" customHeight="1">
      <x:c r="A58" s="29" t="str">
        <x:v>https://alkan.pl/sklep/gniazdo-przenosne-63a-5p-400v-ip67-235-6-pce/</x:v>
      </x:c>
      <x:c r="B58" s="29" t="str">
        <x:v>Gniazdo przenośne 63A/5P/400V IP67 235-6 PCE</x:v>
      </x:c>
      <x:c r="C58" s="32" t="n">
        <x:v>1</x:v>
      </x:c>
      <x:c r="D58" s="32" t="n">
        <x:v>260</x:v>
      </x:c>
      <x:c r="E58" s="33" t="n">
        <x:v>0</x:v>
      </x:c>
      <x:c r="F58" s="31" t="str">
        <x:v>Brak stanu 24H – na zamówienie</x:v>
      </x:c>
      <x:c r="G58" s="31" t="str">
        <x:v>Tak</x:v>
      </x:c>
      <x:c r="H58" s="29" t="str">
        <x:v>Produkt na zamówienie; Główny: 0 szt.</x:v>
      </x:c>
      <x:c r="I58" s="29" t="str">
        <x:v>gniazdo 63a</x:v>
      </x:c>
      <x:c r="J58" s="34" t="n">
        <x:v>200</x:v>
      </x:c>
    </x:row>
    <x:row r="59" ht="48" customHeight="1">
      <x:c r="A59" s="29" t="str">
        <x:v>https://alkan.pl/sklep/miernik-fazer-777/</x:v>
      </x:c>
      <x:c r="B59" s="29" t="str">
        <x:v>Miernik próbnik napięcia Fazer 777 FAZER777</x:v>
      </x:c>
      <x:c r="C59" s="32" t="n">
        <x:v>1</x:v>
      </x:c>
      <x:c r="D59" s="32" t="n">
        <x:v>260</x:v>
      </x:c>
      <x:c r="E59" s="33" t="n">
        <x:v>0</x:v>
      </x:c>
      <x:c r="F59" s="31" t="str">
        <x:v>Dostępny</x:v>
      </x:c>
      <x:c r="G59" s="31" t="str">
        <x:v>Tak</x:v>
      </x:c>
      <x:c r="H59" s="29" t="str">
        <x:v>Produkt na zamówienie; Główny: 13 szt., 24H</x:v>
      </x:c>
      <x:c r="I59" s="29" t="str">
        <x:v>fazer 777 castorama</x:v>
      </x:c>
      <x:c r="J59" s="34" t="n">
        <x:v>200</x:v>
      </x:c>
    </x:row>
    <x:row r="60" ht="48" customHeight="1">
      <x:c r="A60" s="29" t="str">
        <x:v>https://alkan.pl/sklep/przekaznik-czasowy-230v-pcr-513-ff/</x:v>
      </x:c>
      <x:c r="B60" s="29" t="str">
        <x:v>Przekaźnik czasowy rewersyjny jednofunkcyjny 24V 10A PCR-513 F&amp;F PCR-513-24V</x:v>
      </x:c>
      <x:c r="C60" s="32" t="n">
        <x:v>1</x:v>
      </x:c>
      <x:c r="D60" s="32" t="n">
        <x:v>260</x:v>
      </x:c>
      <x:c r="E60" s="33" t="n">
        <x:v>0</x:v>
      </x:c>
      <x:c r="F60" s="31" t="str">
        <x:v>Dostępny</x:v>
      </x:c>
      <x:c r="G60" s="31" t="str">
        <x:v>Tak</x:v>
      </x:c>
      <x:c r="H60" s="29" t="str">
        <x:v>Produkt na zamówienie; Główny: 3 szt., 24H</x:v>
      </x:c>
      <x:c r="I60" s="29" t="str">
        <x:v>pcr 513</x:v>
      </x:c>
      <x:c r="J60" s="34" t="n">
        <x:v>200</x:v>
      </x:c>
    </x:row>
    <x:row r="61" ht="48" customHeight="1">
      <x:c r="A61" s="29" t="str">
        <x:v>https://alkan.pl/sklep/hager-modulowy-rozlacznik-izolacyjny-3p-40a-sbn340/</x:v>
      </x:c>
      <x:c r="B61" s="29" t="str">
        <x:v>Rozłącznik izolacyjny modułowy 3P 40A 400 V AC Hager SBN340</x:v>
      </x:c>
      <x:c r="C61" s="32" t="n">
        <x:v>1</x:v>
      </x:c>
      <x:c r="D61" s="32" t="n">
        <x:v>210</x:v>
      </x:c>
      <x:c r="E61" s="33" t="n">
        <x:v>0</x:v>
      </x:c>
      <x:c r="F61" s="31" t="str">
        <x:v>Dostępny</x:v>
      </x:c>
      <x:c r="G61" s="31" t="str">
        <x:v>Tak</x:v>
      </x:c>
      <x:c r="H61" s="29" t="str">
        <x:v>Produkt na zamówienie; Główny: 47 szt., 24H</x:v>
      </x:c>
      <x:c r="I61" s="29" t="str">
        <x:v>rozłącznik izolacyjny 3 fazowy</x:v>
      </x:c>
      <x:c r="J61" s="34" t="n">
        <x:v>200</x:v>
      </x:c>
    </x:row>
    <x:row r="62" ht="48" customHeight="1">
      <x:c r="A62" s="29" t="str">
        <x:v>https://alkan.pl/sklep/kabel-ziemny-ykyzo-0-6-1-kv-4x25-1m/</x:v>
      </x:c>
      <x:c r="B62" s="29" t="str">
        <x:v>Kabel ziemny YKYżo 0.6/1 kV 4×2,5 1m</x:v>
      </x:c>
      <x:c r="C62" s="32" t="n">
        <x:v>1</x:v>
      </x:c>
      <x:c r="D62" s="32" t="n">
        <x:v>210</x:v>
      </x:c>
      <x:c r="E62" s="33" t="n">
        <x:v>0</x:v>
      </x:c>
      <x:c r="F62" s="31" t="str">
        <x:v>Dostępny</x:v>
      </x:c>
      <x:c r="G62" s="31" t="str">
        <x:v>Tak</x:v>
      </x:c>
      <x:c r="H62" s="29" t="str">
        <x:v>Produkt na zamówienie; Główny: 158 m, 24H</x:v>
      </x:c>
      <x:c r="I62" s="29" t="str">
        <x:v>kabel ziemny 4x2 5</x:v>
      </x:c>
      <x:c r="J62" s="34" t="n">
        <x:v>200</x:v>
      </x:c>
    </x:row>
    <x:row r="63" ht="48" customHeight="1">
      <x:c r="A63" s="29" t="str">
        <x:v>https://alkan.pl/sklep/rura-karbowana-arot-50-41-niebieska-kopoflex/</x:v>
      </x:c>
      <x:c r="B63" s="29" t="str">
        <x:v>Rura karbowana AROT 50 N niebieska krążek 50m KOPOFLEX KF 09050_CA</x:v>
      </x:c>
      <x:c r="C63" s="32" t="n">
        <x:v>1</x:v>
      </x:c>
      <x:c r="D63" s="32" t="n">
        <x:v>210</x:v>
      </x:c>
      <x:c r="E63" s="33" t="n">
        <x:v>0</x:v>
      </x:c>
      <x:c r="F63" s="31" t="str">
        <x:v>Dostępny</x:v>
      </x:c>
      <x:c r="G63" s="31" t="str">
        <x:v>Tak</x:v>
      </x:c>
      <x:c r="H63" s="29" t="str">
        <x:v>Produkt na zamówienie; Główny: 24 szt., 24H</x:v>
      </x:c>
      <x:c r="I63" s="29" t="str">
        <x:v>arot 50 castorama</x:v>
      </x:c>
      <x:c r="J63" s="34" t="n">
        <x:v>200</x:v>
      </x:c>
    </x:row>
    <x:row r="64" ht="48" customHeight="1">
      <x:c r="A64" s="29" t="str">
        <x:v>https://alkan.pl/sklep/uchwyt-paskowy-bialy-100-szt-elektroplast-up-22/</x:v>
      </x:c>
      <x:c r="B64" s="29" t="str">
        <x:v>Uchwyt paskowy biały (100 szt.) ELEKTROPLAST UP 22 12.1</x:v>
      </x:c>
      <x:c r="C64" s="32" t="n">
        <x:v>1</x:v>
      </x:c>
      <x:c r="D64" s="32" t="n">
        <x:v>210</x:v>
      </x:c>
      <x:c r="E64" s="33" t="n">
        <x:v>3.8</x:v>
      </x:c>
      <x:c r="F64" s="31" t="str">
        <x:v>Brak stanu 24H – na zamówienie</x:v>
      </x:c>
      <x:c r="G64" s="31" t="str">
        <x:v>Tak</x:v>
      </x:c>
      <x:c r="H64" s="29" t="str">
        <x:v>Produkt na zamówienie; Główny: 0 szt.</x:v>
      </x:c>
      <x:c r="I64" s="29" t="str">
        <x:v>uchwyt paskowy</x:v>
      </x:c>
      <x:c r="J64" s="34" t="n">
        <x:v>200</x:v>
      </x:c>
    </x:row>
    <x:row r="65" ht="48" customHeight="1">
      <x:c r="A65" s="29" t="str">
        <x:v>https://alkan.pl/sklep/wago-szybkozlaczka-2273-203-100-szt/</x:v>
      </x:c>
      <x:c r="B65" s="29" t="str">
        <x:v>WAGO szybkozłączka 3×0,5-2,5 mm² 2273-203 100 sztuk</x:v>
      </x:c>
      <x:c r="C65" s="32" t="n">
        <x:v>1</x:v>
      </x:c>
      <x:c r="D65" s="32" t="n">
        <x:v>210</x:v>
      </x:c>
      <x:c r="E65" s="33" t="n">
        <x:v>10.6</x:v>
      </x:c>
      <x:c r="F65" s="31" t="str">
        <x:v>Dostępny</x:v>
      </x:c>
      <x:c r="G65" s="31" t="str">
        <x:v>Tak</x:v>
      </x:c>
      <x:c r="H65" s="29" t="str">
        <x:v>Produkt na zamówienie; Główny: 67 szt., 24H</x:v>
      </x:c>
      <x:c r="I65" s="29" t="str">
        <x:v>złączki wago 100 szt</x:v>
      </x:c>
      <x:c r="J65" s="34" t="n">
        <x:v>200</x:v>
      </x:c>
    </x:row>
    <x:row r="66" ht="48" customHeight="1">
      <x:c r="A66" s="29" t="str">
        <x:v>https://alkan.pl/sklep/wago-szyzbkozlaczka-2273-203-10-sztuk/</x:v>
      </x:c>
      <x:c r="B66" s="29" t="str">
        <x:v>WAGO szyzbkozłączka 3×0,5-2,5 mm² 2273-203 10 sztuk</x:v>
      </x:c>
      <x:c r="C66" s="32" t="n">
        <x:v>1</x:v>
      </x:c>
      <x:c r="D66" s="32" t="n">
        <x:v>210</x:v>
      </x:c>
      <x:c r="E66" s="33" t="n">
        <x:v>3.2</x:v>
      </x:c>
      <x:c r="F66" s="31" t="str">
        <x:v>Dostępny</x:v>
      </x:c>
      <x:c r="G66" s="31" t="str">
        <x:v>Tak</x:v>
      </x:c>
      <x:c r="H66" s="29" t="str">
        <x:v>Produkt na zamówienie; Główny: 674 szt., 24H</x:v>
      </x:c>
      <x:c r="I66" s="29" t="str">
        <x:v>wago 2273 203</x:v>
      </x:c>
      <x:c r="J66" s="34" t="n">
        <x:v>200</x:v>
      </x:c>
    </x:row>
    <x:row r="67" ht="48" customHeight="1">
      <x:c r="A67" s="29" t="str">
        <x:v>https://alkan.pl/sklep/wl0030-lacznik-krzyzowy-lumina2-bialy/</x:v>
      </x:c>
      <x:c r="B67" s="29" t="str">
        <x:v>Łącznik krzyżowy biały WL0030 Hager Lumina2</x:v>
      </x:c>
      <x:c r="C67" s="32" t="n">
        <x:v>1</x:v>
      </x:c>
      <x:c r="D67" s="32" t="n">
        <x:v>210</x:v>
      </x:c>
      <x:c r="E67" s="33" t="n">
        <x:v>4.7</x:v>
      </x:c>
      <x:c r="F67" s="31" t="str">
        <x:v>Dostępny</x:v>
      </x:c>
      <x:c r="G67" s="31" t="str">
        <x:v>Tak</x:v>
      </x:c>
      <x:c r="H67" s="29" t="str">
        <x:v>Produkt na zamówienie; Główny: 13 szt., 24H</x:v>
      </x:c>
      <x:c r="I67" s="29" t="str">
        <x:v>hager lumina 2</x:v>
      </x:c>
      <x:c r="J67" s="34" t="n">
        <x:v>200</x:v>
      </x:c>
    </x:row>
    <x:row r="68" ht="48" customHeight="1">
      <x:c r="A68" s="29" t="str">
        <x:v>https://alkan.pl/sklep/wspornik-scienno-sufitowy-wss150-baks-720215/</x:v>
      </x:c>
      <x:c r="B68" s="29" t="str">
        <x:v>Wspornik ścienno-sufitowy WSS150 BAKS 720215</x:v>
      </x:c>
      <x:c r="C68" s="32" t="n">
        <x:v>1</x:v>
      </x:c>
      <x:c r="D68" s="32" t="n">
        <x:v>210</x:v>
      </x:c>
      <x:c r="E68" s="33" t="n">
        <x:v>0</x:v>
      </x:c>
      <x:c r="F68" s="31" t="str">
        <x:v>Dostępny</x:v>
      </x:c>
      <x:c r="G68" s="31" t="str">
        <x:v>Tak</x:v>
      </x:c>
      <x:c r="H68" s="29" t="str">
        <x:v>Produkt na zamówienie; Główny: 211 szt., 24H</x:v>
      </x:c>
      <x:c r="I68" s="29" t="str">
        <x:v>glin baks</x:v>
      </x:c>
      <x:c r="J68" s="34" t="n">
        <x:v>200</x:v>
      </x:c>
    </x:row>
    <x:row r="69" ht="48" customHeight="1">
      <x:c r="A69" s="29" t="str">
        <x:v>https://alkan.pl/sklep/wtyczka-przenosna-63a-5p-400v-ip67-035-6-pce/</x:v>
      </x:c>
      <x:c r="B69" s="29" t="str">
        <x:v>Wtyczka przenośna 63A/5P/400V IP67 035-6 PCE</x:v>
      </x:c>
      <x:c r="C69" s="32" t="n">
        <x:v>1</x:v>
      </x:c>
      <x:c r="D69" s="32" t="n">
        <x:v>210</x:v>
      </x:c>
      <x:c r="E69" s="33" t="n">
        <x:v>0</x:v>
      </x:c>
      <x:c r="F69" s="31" t="str">
        <x:v>Dostępny</x:v>
      </x:c>
      <x:c r="G69" s="31" t="str">
        <x:v>Tak</x:v>
      </x:c>
      <x:c r="H69" s="29" t="str">
        <x:v>Produkt na zamówienie; Główny: 4 szt., 24H</x:v>
      </x:c>
      <x:c r="I69" s="29" t="str">
        <x:v>wtyka 63a</x:v>
      </x:c>
      <x:c r="J69" s="34" t="n">
        <x:v>200</x:v>
      </x:c>
    </x:row>
    <x:row r="70" ht="48" customHeight="1">
      <x:c r="A70" s="29" t="str">
        <x:v>https://alkan.pl/sklep/hager-wylacznik-nadpradowy-b-40a-1p-6ka-mbn140e/</x:v>
      </x:c>
      <x:c r="B70" s="29" t="str">
        <x:v>Wyłącznik nadprądowy B40 1P 6kA Hager MBN140E</x:v>
      </x:c>
      <x:c r="C70" s="32" t="n">
        <x:v>1</x:v>
      </x:c>
      <x:c r="D70" s="32" t="n">
        <x:v>170</x:v>
      </x:c>
      <x:c r="E70" s="33" t="n">
        <x:v>0</x:v>
      </x:c>
      <x:c r="F70" s="31" t="str">
        <x:v>Brak stanu 24H – na zamówienie</x:v>
      </x:c>
      <x:c r="G70" s="31" t="str">
        <x:v>Tak</x:v>
      </x:c>
      <x:c r="H70" s="29" t="str">
        <x:v>Produkt na zamówienie; Główny: 0 szt.</x:v>
      </x:c>
      <x:c r="I70" s="29" t="str">
        <x:v>b40</x:v>
      </x:c>
      <x:c r="J70" s="34" t="n">
        <x:v>200</x:v>
      </x:c>
    </x:row>
    <x:row r="71" ht="48" customHeight="1">
      <x:c r="A71" s="29" t="str">
        <x:v>https://alkan.pl/sklep/hager-wylacznik-roznicowopradowy-2p-25a-30ma-typ-ac-cdc225j/</x:v>
      </x:c>
      <x:c r="B71" s="29" t="str">
        <x:v>Wyłącznik różnicowoprądowy RCCB 25A 30mA typ AC 1P+N 6kA Hager CDC225J</x:v>
      </x:c>
      <x:c r="C71" s="32" t="n">
        <x:v>1</x:v>
      </x:c>
      <x:c r="D71" s="32" t="n">
        <x:v>170</x:v>
      </x:c>
      <x:c r="E71" s="33" t="n">
        <x:v>0</x:v>
      </x:c>
      <x:c r="F71" s="31" t="str">
        <x:v>Dostępny</x:v>
      </x:c>
      <x:c r="G71" s="31" t="str">
        <x:v>Tak</x:v>
      </x:c>
      <x:c r="H71" s="29" t="str">
        <x:v>Produkt na zamówienie; Główny: 8 szt., 24H</x:v>
      </x:c>
      <x:c r="I71" s="29" t="str">
        <x:v>cdc225j</x:v>
      </x:c>
      <x:c r="J71" s="34" t="n">
        <x:v>200</x:v>
      </x:c>
    </x:row>
    <x:row r="72" ht="48" customHeight="1">
      <x:c r="A72" s="29" t="str">
        <x:v>https://alkan.pl/sklep/ht7g080-wozek-narzedziowy/</x:v>
      </x:c>
      <x:c r="B72" s="29" t="str">
        <x:v>Wózek narzędziowy HT7G080 Hogert</x:v>
      </x:c>
      <x:c r="C72" s="32" t="n">
        <x:v>1</x:v>
      </x:c>
      <x:c r="D72" s="32" t="n">
        <x:v>170</x:v>
      </x:c>
      <x:c r="E72" s="33" t="n">
        <x:v>0</x:v>
      </x:c>
      <x:c r="F72" s="31" t="str">
        <x:v>Brak stanu magazynowego</x:v>
      </x:c>
      <x:c r="G72" s="31" t="str">
        <x:v>Tak</x:v>
      </x:c>
      <x:c r="H72" s="29" t="str">
        <x:v>Główny: 0 szt.</x:v>
      </x:c>
      <x:c r="I72" s="29" t="str">
        <x:v>wózek narzędziowy hogert</x:v>
      </x:c>
      <x:c r="J72" s="34" t="n">
        <x:v>200</x:v>
      </x:c>
    </x:row>
    <x:row r="73" ht="48" customHeight="1">
      <x:c r="A73" s="29" t="str">
        <x:v>https://alkan.pl/sklep/peszel-rura-gietka-karbowana-20-16-pvc-320n-50m/</x:v>
      </x:c>
      <x:c r="B73" s="29" t="str">
        <x:v>Peszel rura giętka karbowana 20/16 PVC 320N 50m 05.4</x:v>
      </x:c>
      <x:c r="C73" s="32" t="n">
        <x:v>1</x:v>
      </x:c>
      <x:c r="D73" s="32" t="n">
        <x:v>170</x:v>
      </x:c>
      <x:c r="E73" s="33" t="n">
        <x:v>0</x:v>
      </x:c>
      <x:c r="F73" s="31" t="str">
        <x:v>Dostępny</x:v>
      </x:c>
      <x:c r="G73" s="31" t="str">
        <x:v>Tak</x:v>
      </x:c>
      <x:c r="H73" s="29" t="str">
        <x:v>Produkt na zamówienie; Główny: 40 szt., 24H</x:v>
      </x:c>
      <x:c r="I73" s="29" t="str">
        <x:v>peszel 20</x:v>
      </x:c>
      <x:c r="J73" s="34" t="n">
        <x:v>200</x:v>
      </x:c>
    </x:row>
    <x:row r="74" ht="48" customHeight="1">
      <x:c r="A74" s="29" t="str">
        <x:v>https://alkan.pl/sklep/peszel-rura-gietka-karbowana-z-pilotem-32-25-pvc-750n-50m/</x:v>
      </x:c>
      <x:c r="B74" s="29" t="str">
        <x:v>Peszel rura giętka karbowana z pilotem 32/25 PVC 750N 50m 05.61</x:v>
      </x:c>
      <x:c r="C74" s="32" t="n">
        <x:v>1</x:v>
      </x:c>
      <x:c r="D74" s="32" t="n">
        <x:v>170</x:v>
      </x:c>
      <x:c r="E74" s="33" t="n">
        <x:v>2.6</x:v>
      </x:c>
      <x:c r="F74" s="31" t="str">
        <x:v>Dostępny</x:v>
      </x:c>
      <x:c r="G74" s="31" t="str">
        <x:v>Tak</x:v>
      </x:c>
      <x:c r="H74" s="29" t="str">
        <x:v>Produkt na zamówienie; Główny: 24 szt., 24H</x:v>
      </x:c>
      <x:c r="I74" s="29" t="str">
        <x:v>peszel 32</x:v>
      </x:c>
      <x:c r="J74" s="34" t="n">
        <x:v>200</x:v>
      </x:c>
    </x:row>
    <x:row r="75" ht="48" customHeight="1">
      <x:c r="A75" s="29" t="str">
        <x:v>https://alkan.pl/sklep/przewod-plaski-ydyp-3x15-zo-450-750v-krazek-100-m-2/</x:v>
      </x:c>
      <x:c r="B75" s="29" t="str">
        <x:v>Przewód płaski YDYp 3×1,5 żo 450/750V krążek 100 m</x:v>
      </x:c>
      <x:c r="C75" s="32" t="n">
        <x:v>1</x:v>
      </x:c>
      <x:c r="D75" s="32" t="n">
        <x:v>170</x:v>
      </x:c>
      <x:c r="E75" s="33" t="n">
        <x:v>0</x:v>
      </x:c>
      <x:c r="F75" s="31" t="str">
        <x:v>Dostępny</x:v>
      </x:c>
      <x:c r="G75" s="31" t="str">
        <x:v>Tak</x:v>
      </x:c>
      <x:c r="H75" s="29" t="str">
        <x:v>Produkt na zamówienie; Główny: 37 szt., 24H</x:v>
      </x:c>
      <x:c r="I75" s="29" t="str">
        <x:v>kabel ydyp 3x1 5</x:v>
      </x:c>
      <x:c r="J75" s="34" t="n">
        <x:v>200</x:v>
      </x:c>
    </x:row>
    <x:row r="76" ht="48" customHeight="1">
      <x:c r="A76" s="29" t="str">
        <x:v>https://alkan.pl/sklep/uchwyt-kablowy-baks-uk1-uko1-22-28-402400/</x:v>
      </x:c>
      <x:c r="B76" s="29" t="str">
        <x:v>Uchwyt kablowy BAKS UK1/UKO1/22-28 402400</x:v>
      </x:c>
      <x:c r="C76" s="32" t="n">
        <x:v>1</x:v>
      </x:c>
      <x:c r="D76" s="32" t="n">
        <x:v>170</x:v>
      </x:c>
      <x:c r="E76" s="33" t="n">
        <x:v>0</x:v>
      </x:c>
      <x:c r="F76" s="31" t="str">
        <x:v>Brak stanu 24H – na zamówienie</x:v>
      </x:c>
      <x:c r="G76" s="31" t="str">
        <x:v>Tak</x:v>
      </x:c>
      <x:c r="H76" s="29" t="str">
        <x:v>Produkt na zamówienie; Główny: 0 szt.</x:v>
      </x:c>
      <x:c r="I76" s="29" t="str">
        <x:v>uchwyt baks</x:v>
      </x:c>
      <x:c r="J76" s="34" t="n">
        <x:v>200</x:v>
      </x:c>
    </x:row>
    <x:row r="77" ht="48" customHeight="1">
      <x:c r="A77" s="29" t="str">
        <x:v>https://alkan.pl/sklep/corepro-led-gu10-dim-4w-840-36st-philips-8850/</x:v>
      </x:c>
      <x:c r="B77" s="29" t="str">
        <x:v>Żarówka LED ściemnialna COREPRO GU10 DIM 4W 840 36ST PHILIPS 929002065802</x:v>
      </x:c>
      <x:c r="C77" s="32" t="n">
        <x:v>1</x:v>
      </x:c>
      <x:c r="D77" s="32" t="n">
        <x:v>140</x:v>
      </x:c>
      <x:c r="E77" s="33" t="n">
        <x:v>0</x:v>
      </x:c>
      <x:c r="F77" s="31" t="str">
        <x:v>Dostępny</x:v>
      </x:c>
      <x:c r="G77" s="31" t="str">
        <x:v>Tak</x:v>
      </x:c>
      <x:c r="H77" s="29" t="str">
        <x:v>Produkt na zamówienie; Główny: 21 szt., 24H</x:v>
      </x:c>
      <x:c r="I77" s="29" t="str">
        <x:v>gu10 ściemnialna</x:v>
      </x:c>
      <x:c r="J77" s="34" t="n">
        <x:v>200</x:v>
      </x:c>
    </x:row>
    <x:row r="78" ht="48" customHeight="1">
      <x:c r="A78" s="29" t="str">
        <x:v>https://alkan.pl/sklep/hager-rozdzielnica-podtynkowa-5r-60m-ii-kl-ip30-volta-vu60nc/</x:v>
      </x:c>
      <x:c r="B78" s="29" t="str">
        <x:v>Rozdzielnica podtynkowa 5×12 5R/60M II KL IP30 HAGER VOLTA VU60NC</x:v>
      </x:c>
      <x:c r="C78" s="32" t="n">
        <x:v>1</x:v>
      </x:c>
      <x:c r="D78" s="32" t="n">
        <x:v>140</x:v>
      </x:c>
      <x:c r="E78" s="33" t="n">
        <x:v>0</x:v>
      </x:c>
      <x:c r="F78" s="31" t="str">
        <x:v>Dostępny</x:v>
      </x:c>
      <x:c r="G78" s="31" t="str">
        <x:v>Tak</x:v>
      </x:c>
      <x:c r="H78" s="29" t="str">
        <x:v>Główny: 9 szt., 24H</x:v>
      </x:c>
      <x:c r="I78" s="29" t="str">
        <x:v>vu60nc</x:v>
      </x:c>
      <x:c r="J78" s="34" t="n">
        <x:v>200</x:v>
      </x:c>
    </x:row>
    <x:row r="79" ht="48" customHeight="1">
      <x:c r="A79" s="29" t="str">
        <x:v>https://alkan.pl/sklep/hager-wylacznik-nadpradowy-mcb-6ka-1p-c-10a-mcn110e/</x:v>
      </x:c>
      <x:c r="B79" s="29" t="str">
        <x:v>Wyłącznik nadprądowy C10 1P 6kA Hager MCN110E</x:v>
      </x:c>
      <x:c r="C79" s="32" t="n">
        <x:v>1</x:v>
      </x:c>
      <x:c r="D79" s="32" t="n">
        <x:v>140</x:v>
      </x:c>
      <x:c r="E79" s="33" t="n">
        <x:v>0</x:v>
      </x:c>
      <x:c r="F79" s="31" t="str">
        <x:v>Dostępny</x:v>
      </x:c>
      <x:c r="G79" s="31" t="str">
        <x:v>Tak</x:v>
      </x:c>
      <x:c r="H79" s="29" t="str">
        <x:v>Produkt na zamówienie; Główny: 66 szt., 24H</x:v>
      </x:c>
      <x:c r="I79" s="29" t="str">
        <x:v>bezpiecznik c10</x:v>
      </x:c>
      <x:c r="J79" s="34" t="n">
        <x:v>200</x:v>
      </x:c>
    </x:row>
    <x:row r="80" ht="48" customHeight="1">
      <x:c r="A80" s="29" t="str">
        <x:v>https://alkan.pl/sklep/hager-wylacznik-roznicowopradowy-2p-25a-30ma-typ-a-cda225j/</x:v>
      </x:c>
      <x:c r="B80" s="29" t="str">
        <x:v>Wyłącznik różnicowoprądowy RCCB 25A 30mA typ A 1P+N 6kA Hager CDA225J</x:v>
      </x:c>
      <x:c r="C80" s="32" t="n">
        <x:v>1</x:v>
      </x:c>
      <x:c r="D80" s="32" t="n">
        <x:v>140</x:v>
      </x:c>
      <x:c r="E80" s="33" t="n">
        <x:v>0</x:v>
      </x:c>
      <x:c r="F80" s="31" t="str">
        <x:v>Dostępny</x:v>
      </x:c>
      <x:c r="G80" s="31" t="str">
        <x:v>Tak</x:v>
      </x:c>
      <x:c r="H80" s="29" t="str">
        <x:v>Główny: 97 szt., 24H</x:v>
      </x:c>
      <x:c r="I80" s="29" t="str">
        <x:v>hager rcd</x:v>
      </x:c>
      <x:c r="J80" s="34" t="n">
        <x:v>200</x:v>
      </x:c>
    </x:row>
    <x:row r="81" ht="48" customHeight="1">
      <x:c r="A81" s="29" t="str">
        <x:v>https://alkan.pl/sklep/hager-wylacznik-roznicowopradowy-nadpradowy-b-16a-30ma-typ-ac-adc916d/</x:v>
      </x:c>
      <x:c r="B81" s="29" t="str">
        <x:v>Wyłącznik różnicowo-nadprądowy RCBO B16 30mA typ AC 1P+N 6kA Hager ADC916D</x:v>
      </x:c>
      <x:c r="C81" s="32" t="n">
        <x:v>1</x:v>
      </x:c>
      <x:c r="D81" s="32" t="n">
        <x:v>140</x:v>
      </x:c>
      <x:c r="E81" s="33" t="n">
        <x:v>0</x:v>
      </x:c>
      <x:c r="F81" s="31" t="str">
        <x:v>Dostępny</x:v>
      </x:c>
      <x:c r="G81" s="31" t="str">
        <x:v>Tak</x:v>
      </x:c>
      <x:c r="H81" s="29" t="str">
        <x:v>Produkt na zamówienie; Główny: 11 szt., 24H</x:v>
      </x:c>
      <x:c r="I81" s="29" t="str">
        <x:v>wyłącznik różnicowoprądowy z członem nadprądowym b16</x:v>
      </x:c>
      <x:c r="J81" s="34" t="n">
        <x:v>200</x:v>
      </x:c>
    </x:row>
    <x:row r="82" ht="48" customHeight="1">
      <x:c r="A82" s="29" t="str">
        <x:v>https://alkan.pl/sklep/kdob-230v-dzwonek-na-szyne-kanlux/</x:v>
      </x:c>
      <x:c r="B82" s="29" t="str">
        <x:v>Dzwonek na szynę TH35 KDOB Ideal Kanlux 23261</x:v>
      </x:c>
      <x:c r="C82" s="32" t="n">
        <x:v>1</x:v>
      </x:c>
      <x:c r="D82" s="32" t="n">
        <x:v>140</x:v>
      </x:c>
      <x:c r="E82" s="33" t="n">
        <x:v>0</x:v>
      </x:c>
      <x:c r="F82" s="31" t="str">
        <x:v>Dostępny</x:v>
      </x:c>
      <x:c r="G82" s="31" t="str">
        <x:v>Tak</x:v>
      </x:c>
      <x:c r="H82" s="29" t="str">
        <x:v>Główny: 100 szt., 24H</x:v>
      </x:c>
      <x:c r="I82" s="29" t="str">
        <x:v>dzwonek na szynę</x:v>
      </x:c>
      <x:c r="J82" s="34" t="n">
        <x:v>200</x:v>
      </x:c>
    </x:row>
    <x:row r="83" ht="48" customHeight="1">
      <x:c r="A83" s="29" t="str">
        <x:v>https://alkan.pl/sklep/kula-ogrodowa-300mm-kamien-kanlux-stono-30/</x:v>
      </x:c>
      <x:c r="B83" s="29" t="str">
        <x:v>Lampa kula ogrodowa kamień Stono 30n 300mm Kanlux 24651</x:v>
      </x:c>
      <x:c r="C83" s="32" t="n">
        <x:v>1</x:v>
      </x:c>
      <x:c r="D83" s="32" t="n">
        <x:v>140</x:v>
      </x:c>
      <x:c r="E83" s="33" t="n">
        <x:v>0</x:v>
      </x:c>
      <x:c r="F83" s="31" t="str">
        <x:v>Dostępny</x:v>
      </x:c>
      <x:c r="G83" s="31" t="str">
        <x:v>Tak</x:v>
      </x:c>
      <x:c r="H83" s="29" t="str">
        <x:v>Główny: 5 szt., 24H</x:v>
      </x:c>
      <x:c r="I83" s="29" t="str">
        <x:v>kanlux stono</x:v>
      </x:c>
      <x:c r="J83" s="34" t="n">
        <x:v>200</x:v>
      </x:c>
    </x:row>
    <x:row r="84" ht="48" customHeight="1">
      <x:c r="A84" s="29" t="str">
        <x:v>https://alkan.pl/sklep/latarka-czolowa-led-cree-3w-emos-p3535/</x:v>
      </x:c>
      <x:c r="B84" s="29" t="str">
        <x:v>Latarka czołowa LED CREE 3W EMOS P3535</x:v>
      </x:c>
      <x:c r="C84" s="32" t="n">
        <x:v>1</x:v>
      </x:c>
      <x:c r="D84" s="32" t="n">
        <x:v>140</x:v>
      </x:c>
      <x:c r="E84" s="33" t="n">
        <x:v>0</x:v>
      </x:c>
      <x:c r="F84" s="31" t="str">
        <x:v>Dostępny</x:v>
      </x:c>
      <x:c r="G84" s="31" t="str">
        <x:v>Tak</x:v>
      </x:c>
      <x:c r="H84" s="29" t="str">
        <x:v>Główny: 1 szt., 24H</x:v>
      </x:c>
      <x:c r="I84" s="29" t="str">
        <x:v>latarka czołowa emos</x:v>
      </x:c>
      <x:c r="J84" s="34" t="n">
        <x:v>200</x:v>
      </x:c>
    </x:row>
    <x:row r="85" ht="48" customHeight="1">
      <x:c r="A85" s="29" t="str">
        <x:v>https://alkan.pl/sklep/obudowa-termoutwardzalna-stn26-fundament-ftn26-incobex/</x:v>
      </x:c>
      <x:c r="B85" s="29" t="str">
        <x:v>Obudowa termoutwardzalna STN26 + fundament FTN26 Incobex</x:v>
      </x:c>
      <x:c r="C85" s="32" t="n">
        <x:v>1</x:v>
      </x:c>
      <x:c r="D85" s="32" t="n">
        <x:v>140</x:v>
      </x:c>
      <x:c r="E85" s="33" t="n">
        <x:v>0</x:v>
      </x:c>
      <x:c r="F85" s="31" t="str">
        <x:v>Dostępny</x:v>
      </x:c>
      <x:c r="G85" s="31" t="str">
        <x:v>Tak</x:v>
      </x:c>
      <x:c r="H85" s="29" t="str">
        <x:v>Produkt na zamówienie; Główny: 3 szt., 24H</x:v>
      </x:c>
      <x:c r="I85" s="29" t="str">
        <x:v>obudowa termoutwardzalna z fundamentem</x:v>
      </x:c>
      <x:c r="J85" s="34" t="n">
        <x:v>200</x:v>
      </x:c>
    </x:row>
    <x:row r="86" ht="48" customHeight="1">
      <x:c r="A86" s="29" t="str">
        <x:v>https://alkan.pl/sklep/peszel-rura-gietka-karbowana-z-pilotem-20-16-pvc-750n-50m/</x:v>
      </x:c>
      <x:c r="B86" s="29" t="str">
        <x:v>Peszel rura giętka karbowana z pilotem 20/16 PVC 750N 50m 05.58</x:v>
      </x:c>
      <x:c r="C86" s="32" t="n">
        <x:v>1</x:v>
      </x:c>
      <x:c r="D86" s="32" t="n">
        <x:v>140</x:v>
      </x:c>
      <x:c r="E86" s="33" t="n">
        <x:v>0</x:v>
      </x:c>
      <x:c r="F86" s="31" t="str">
        <x:v>Dostępny</x:v>
      </x:c>
      <x:c r="G86" s="31" t="str">
        <x:v>Tak</x:v>
      </x:c>
      <x:c r="H86" s="29" t="str">
        <x:v>Produkt na zamówienie; Główny: 51 szt., 24H</x:v>
      </x:c>
      <x:c r="I86" s="29" t="str">
        <x:v>peszel 750n</x:v>
      </x:c>
      <x:c r="J86" s="34" t="n">
        <x:v>200</x:v>
      </x:c>
    </x:row>
    <x:row r="87" ht="48" customHeight="1">
      <x:c r="A87" s="29" t="str">
        <x:v>https://alkan.pl/sklep/przewod-elektryczny-h03vv-f-omy-3x15-300-v-czarny-elektrokabel-100m/</x:v>
      </x:c>
      <x:c r="B87" s="29" t="str">
        <x:v>Przewód elektryczny H03VV-F OMY 3×1,5 300 V czarny 100m</x:v>
      </x:c>
      <x:c r="C87" s="32" t="n">
        <x:v>1</x:v>
      </x:c>
      <x:c r="D87" s="32" t="n">
        <x:v>140</x:v>
      </x:c>
      <x:c r="E87" s="33" t="n">
        <x:v>0</x:v>
      </x:c>
      <x:c r="F87" s="31" t="str">
        <x:v>Dostępny</x:v>
      </x:c>
      <x:c r="G87" s="31" t="str">
        <x:v>Tak</x:v>
      </x:c>
      <x:c r="H87" s="29" t="str">
        <x:v>Produkt na zamówienie; Główny: 7 szt., 24H</x:v>
      </x:c>
      <x:c r="I87" s="29" t="str">
        <x:v>przewód omy 3x1 5</x:v>
      </x:c>
      <x:c r="J87" s="34" t="n">
        <x:v>200</x:v>
      </x:c>
    </x:row>
    <x:row r="88" ht="48" customHeight="1">
      <x:c r="A88" s="29" t="str">
        <x:v>https://alkan.pl/sklep/psn-3010-przedluzacz-3gn-10m-z-u-bialy/</x:v>
      </x:c>
      <x:c r="B88" s="29" t="str">
        <x:v>Przedłużacz 3 gniazda 10M z uziemieniem biały Elgotech PSN-3010</x:v>
      </x:c>
      <x:c r="C88" s="32" t="n">
        <x:v>1</x:v>
      </x:c>
      <x:c r="D88" s="32" t="n">
        <x:v>140</x:v>
      </x:c>
      <x:c r="E88" s="33" t="n">
        <x:v>0</x:v>
      </x:c>
      <x:c r="F88" s="31" t="str">
        <x:v>Brak stanu 24H – na zamówienie</x:v>
      </x:c>
      <x:c r="G88" s="31" t="str">
        <x:v>Tak</x:v>
      </x:c>
      <x:c r="H88" s="29" t="str">
        <x:v>Produkt na zamówienie; Główny: 0 szt.</x:v>
      </x:c>
      <x:c r="I88" s="29" t="str">
        <x:v>elgotech przedłużacz</x:v>
      </x:c>
      <x:c r="J88" s="34" t="n">
        <x:v>200</x:v>
      </x:c>
    </x:row>
    <x:row r="89" ht="48" customHeight="1">
      <x:c r="A89" s="29" t="str">
        <x:v>https://alkan.pl/sklep/automat-schodowy-ff-230v-16a-as-212/</x:v>
      </x:c>
      <x:c r="B89" s="29" t="str">
        <x:v>Automat schodowy 230V 16A AS-212 F&amp;F</x:v>
      </x:c>
      <x:c r="C89" s="32" t="n">
        <x:v>1</x:v>
      </x:c>
      <x:c r="D89" s="32" t="n">
        <x:v>110</x:v>
      </x:c>
      <x:c r="E89" s="33" t="n">
        <x:v>0</x:v>
      </x:c>
      <x:c r="F89" s="31" t="str">
        <x:v>Dostępny</x:v>
      </x:c>
      <x:c r="G89" s="31" t="str">
        <x:v>Tak</x:v>
      </x:c>
      <x:c r="H89" s="29" t="str">
        <x:v>Produkt na zamówienie; Główny: 5 szt., 24H</x:v>
      </x:c>
      <x:c r="I89" s="29" t="str">
        <x:v>automat schodowy czasowy</x:v>
      </x:c>
      <x:c r="J89" s="34" t="n">
        <x:v>200</x:v>
      </x:c>
    </x:row>
    <x:row r="90" ht="48" customHeight="1">
      <x:c r="A90" s="29" t="str">
        <x:v>https://alkan.pl/sklep/automatyczny-przelacznik-faz-ff-16a-pf-431/</x:v>
      </x:c>
      <x:c r="B90" s="29" t="str">
        <x:v>Automatyczny Przełącznik Faz F&amp;F -16A PF-431</x:v>
      </x:c>
      <x:c r="C90" s="32" t="n">
        <x:v>1</x:v>
      </x:c>
      <x:c r="D90" s="32" t="n">
        <x:v>110</x:v>
      </x:c>
      <x:c r="E90" s="33" t="n">
        <x:v>0</x:v>
      </x:c>
      <x:c r="F90" s="31" t="str">
        <x:v>Dostępny</x:v>
      </x:c>
      <x:c r="G90" s="31" t="str">
        <x:v>Tak</x:v>
      </x:c>
      <x:c r="H90" s="29" t="str">
        <x:v>Produkt na zamówienie; Główny: 7 szt., 24H</x:v>
      </x:c>
      <x:c r="I90" s="29" t="str">
        <x:v>automatyczny przełącznik faz 25a</x:v>
      </x:c>
      <x:c r="J90" s="34" t="n">
        <x:v>200</x:v>
      </x:c>
    </x:row>
    <x:row r="91" ht="48" customHeight="1">
      <x:c r="A91" s="29" t="str">
        <x:v>https://alkan.pl/sklep/czujnik-czadu-tlenku-wegla-i-gazu-z-wifi-ctlg-09-w-ff/</x:v>
      </x:c>
      <x:c r="B91" s="29" t="str">
        <x:v>Czujnik czadu (tlenku węgla) i gazu z WIFI CTLG-09-W F&amp;F</x:v>
      </x:c>
      <x:c r="C91" s="32" t="n">
        <x:v>1</x:v>
      </x:c>
      <x:c r="D91" s="32" t="n">
        <x:v>110</x:v>
      </x:c>
      <x:c r="E91" s="33" t="n">
        <x:v>0</x:v>
      </x:c>
      <x:c r="F91" s="31" t="str">
        <x:v>Brak stanu 24H – na zamówienie</x:v>
      </x:c>
      <x:c r="G91" s="31" t="str">
        <x:v>Tak</x:v>
      </x:c>
      <x:c r="H91" s="29" t="str">
        <x:v>Produkt na zamówienie; Główny: 0 szt.</x:v>
      </x:c>
      <x:c r="I91" s="29" t="str">
        <x:v>czujnik gazu i czadu wifi</x:v>
      </x:c>
      <x:c r="J91" s="34" t="n">
        <x:v>200</x:v>
      </x:c>
    </x:row>
    <x:row r="92" ht="48" customHeight="1">
      <x:c r="A92" s="29" t="str">
        <x:v>https://alkan.pl/sklep/hager-wylacznik-nadpradowy-b-6a-1p-6ka-mbn106e/</x:v>
      </x:c>
      <x:c r="B92" s="29" t="str">
        <x:v>Wyłącznik nadprądowy B6 1P 6kA Hager MBN106E</x:v>
      </x:c>
      <x:c r="C92" s="32" t="n">
        <x:v>1</x:v>
      </x:c>
      <x:c r="D92" s="32" t="n">
        <x:v>110</x:v>
      </x:c>
      <x:c r="E92" s="33" t="n">
        <x:v>0</x:v>
      </x:c>
      <x:c r="F92" s="31" t="str">
        <x:v>Dostępny</x:v>
      </x:c>
      <x:c r="G92" s="31" t="str">
        <x:v>Tak</x:v>
      </x:c>
      <x:c r="H92" s="29" t="str">
        <x:v>Produkt na zamówienie; Główny: 61 szt., 24H</x:v>
      </x:c>
      <x:c r="I92" s="29" t="str">
        <x:v>wyłącznik nadprądowy b6</x:v>
      </x:c>
      <x:c r="J92" s="34" t="n">
        <x:v>200</x:v>
      </x:c>
    </x:row>
    <x:row r="93" ht="48" customHeight="1">
      <x:c r="A93" s="29" t="str">
        <x:v>https://alkan.pl/sklep/hager-wylacznik-roznicowopradowy-4p-25a-30ma-typ-ac-cdc425j/</x:v>
      </x:c>
      <x:c r="B93" s="29" t="str">
        <x:v>Wyłącznik różnicowoprądowy RCCB 25A 30mA typ AC 3P+N 6kA Hager CDC425J</x:v>
      </x:c>
      <x:c r="C93" s="32" t="n">
        <x:v>1</x:v>
      </x:c>
      <x:c r="D93" s="32" t="n">
        <x:v>110</x:v>
      </x:c>
      <x:c r="E93" s="33" t="n">
        <x:v>0</x:v>
      </x:c>
      <x:c r="F93" s="31" t="str">
        <x:v>Dostępny</x:v>
      </x:c>
      <x:c r="G93" s="31" t="str">
        <x:v>Tak</x:v>
      </x:c>
      <x:c r="H93" s="29" t="str">
        <x:v>Produkt na zamówienie; Główny: 6 szt., 24H</x:v>
      </x:c>
      <x:c r="I93" s="29" t="str">
        <x:v>cdc425j</x:v>
      </x:c>
      <x:c r="J93" s="34" t="n">
        <x:v>200</x:v>
      </x:c>
    </x:row>
    <x:row r="94" ht="48" customHeight="1">
      <x:c r="A94" s="29" t="str">
        <x:v>https://alkan.pl/sklep/przedluzacz-4gn-10m-z-u-psn-4010-bialy/</x:v>
      </x:c>
      <x:c r="B94" s="29" t="str">
        <x:v>Przedłużacz 4 gniazda 10m z uziemieniem biały Elgotech PSN-4010</x:v>
      </x:c>
      <x:c r="C94" s="32" t="n">
        <x:v>1</x:v>
      </x:c>
      <x:c r="D94" s="32" t="n">
        <x:v>110</x:v>
      </x:c>
      <x:c r="E94" s="33" t="n">
        <x:v>0</x:v>
      </x:c>
      <x:c r="F94" s="31" t="str">
        <x:v>Dostępny</x:v>
      </x:c>
      <x:c r="G94" s="31" t="str">
        <x:v>Tak</x:v>
      </x:c>
      <x:c r="H94" s="29" t="str">
        <x:v>Produkt na zamówienie; Główny: 2 szt., 24H</x:v>
      </x:c>
      <x:c r="I94" s="29" t="str">
        <x:v>4010</x:v>
      </x:c>
      <x:c r="J94" s="34" t="n">
        <x:v>200</x:v>
      </x:c>
    </x:row>
    <x:row r="95" ht="48" customHeight="1">
      <x:c r="A95" s="29" t="str">
        <x:v>https://alkan.pl/sklep/przekaznik-czasowy-wielofunkcyjny-ff-230v-8a-pcu-511/</x:v>
      </x:c>
      <x:c r="B95" s="29" t="str">
        <x:v>Przekaźnik czasowy wielofunkcyjny 230V 8A PCU-511 F&amp;F</x:v>
      </x:c>
      <x:c r="C95" s="32" t="n">
        <x:v>1</x:v>
      </x:c>
      <x:c r="D95" s="32" t="n">
        <x:v>110</x:v>
      </x:c>
      <x:c r="E95" s="33" t="n">
        <x:v>0</x:v>
      </x:c>
      <x:c r="F95" s="31" t="str">
        <x:v>Dostępny</x:v>
      </x:c>
      <x:c r="G95" s="31" t="str">
        <x:v>Tak</x:v>
      </x:c>
      <x:c r="H95" s="29" t="str">
        <x:v>Produkt na zamówienie; Główny: 2 szt., 24H</x:v>
      </x:c>
      <x:c r="I95" s="29" t="str">
        <x:v>przekaźnik czasowy f&amp;f</x:v>
      </x:c>
      <x:c r="J95" s="34" t="n">
        <x:v>200</x:v>
      </x:c>
    </x:row>
    <x:row r="96" ht="48" customHeight="1">
      <x:c r="A96" s="29" t="str">
        <x:v>https://alkan.pl/sklep/ramka-pojedyncza-biala-ospel-as-r-1g00/</x:v>
      </x:c>
      <x:c r="B96" s="29" t="str">
        <x:v>Ramka pojedyncza biała R-1G/00 Ospel As</x:v>
      </x:c>
      <x:c r="C96" s="32" t="n">
        <x:v>1</x:v>
      </x:c>
      <x:c r="D96" s="32" t="n">
        <x:v>110</x:v>
      </x:c>
      <x:c r="E96" s="33" t="n">
        <x:v>0</x:v>
      </x:c>
      <x:c r="F96" s="31" t="str">
        <x:v>Brak stanu 24H – na zamówienie</x:v>
      </x:c>
      <x:c r="G96" s="31" t="str">
        <x:v>Tak</x:v>
      </x:c>
      <x:c r="H96" s="29" t="str">
        <x:v>Produkt na zamówienie; Główny: 0 szt.</x:v>
      </x:c>
      <x:c r="I96" s="29" t="str">
        <x:v>ramka ospel</x:v>
      </x:c>
      <x:c r="J96" s="34" t="n">
        <x:v>200</x:v>
      </x:c>
    </x:row>
    <x:row r="97" ht="48" customHeight="1">
      <x:c r="A97" s="29" t="str">
        <x:v>https://alkan.pl/sklep/row-04m-odbiornik-wi-fi-modulowy-4-kanalowy/</x:v>
      </x:c>
      <x:c r="B97" s="29" t="str">
        <x:v>Odbiornik WiFi modułowy 4-kanałowy ROW-04m Zamel Supla SPL10000017</x:v>
      </x:c>
      <x:c r="C97" s="32" t="n">
        <x:v>1</x:v>
      </x:c>
      <x:c r="D97" s="32" t="n">
        <x:v>110</x:v>
      </x:c>
      <x:c r="E97" s="33" t="n">
        <x:v>0</x:v>
      </x:c>
      <x:c r="F97" s="31" t="str">
        <x:v>Brak stanu 24H – na zamówienie</x:v>
      </x:c>
      <x:c r="G97" s="31" t="str">
        <x:v>Tak</x:v>
      </x:c>
      <x:c r="H97" s="29" t="str">
        <x:v>Produkt na zamówienie; Główny: 0 szt.</x:v>
      </x:c>
      <x:c r="I97" s="29" t="str">
        <x:v>row 04m</x:v>
      </x:c>
      <x:c r="J97" s="34" t="n">
        <x:v>200</x:v>
      </x:c>
    </x:row>
    <x:row r="98" ht="48" customHeight="1">
      <x:c r="A98" s="29" t="str">
        <x:v>https://alkan.pl/sklep/usmp-3bis-uchwyt-szybkiego-montazu-100-szt/</x:v>
      </x:c>
      <x:c r="B98" s="29" t="str">
        <x:v>Uchwyt szybkiego montażu USMP-3 BIS 3×1,5 3×2,5 100 sztuk</x:v>
      </x:c>
      <x:c r="C98" s="32" t="n">
        <x:v>1</x:v>
      </x:c>
      <x:c r="D98" s="32" t="n">
        <x:v>110</x:v>
      </x:c>
      <x:c r="E98" s="33" t="n">
        <x:v>0</x:v>
      </x:c>
      <x:c r="F98" s="31" t="str">
        <x:v>Dostępny</x:v>
      </x:c>
      <x:c r="G98" s="31" t="str">
        <x:v>Tak</x:v>
      </x:c>
      <x:c r="H98" s="29" t="str">
        <x:v>Produkt na zamówienie; Główny: 47 szt., 24H</x:v>
      </x:c>
      <x:c r="I98" s="29" t="str">
        <x:v>usmp 3 bis</x:v>
      </x:c>
      <x:c r="J98" s="34" t="n">
        <x:v>200</x:v>
      </x:c>
    </x:row>
    <x:row r="99" ht="48" customHeight="1">
      <x:c r="A99" s="29" t="str">
        <x:v>https://alkan.pl/sklep/wylacznik-nadpradowy-jednopolowy-b16-16a-eti-etimat6-002111516/</x:v>
      </x:c>
      <x:c r="B99" s="29" t="str">
        <x:v>Wyłącznik nadprądowy jednopolowy B16A ETI ETIMAT6 002111516 ETI</x:v>
      </x:c>
      <x:c r="C99" s="32" t="n">
        <x:v>1</x:v>
      </x:c>
      <x:c r="D99" s="32" t="n">
        <x:v>110</x:v>
      </x:c>
      <x:c r="E99" s="33" t="n">
        <x:v>0</x:v>
      </x:c>
      <x:c r="F99" s="31" t="str">
        <x:v>Dostępny</x:v>
      </x:c>
      <x:c r="G99" s="31" t="str">
        <x:v>Tak</x:v>
      </x:c>
      <x:c r="H99" s="29" t="str">
        <x:v>Produkt na zamówienie; Główny: 603 szt., 24H</x:v>
      </x:c>
      <x:c r="I99" s="29" t="str">
        <x:v>eti b16</x:v>
      </x:c>
      <x:c r="J99" s="34" t="n">
        <x:v>200</x:v>
      </x:c>
    </x:row>
  </x:sheetData>
  <x:mergeCells>
    <x:mergeCell ref="A2:J2"/>
    <x:mergeCell ref="A3:J3"/>
    <x:mergeCell ref="C5:D5"/>
    <x:mergeCell ref="E5:F5"/>
    <x:mergeCell ref="G5:H5"/>
    <x:mergeCell ref="I5:J5"/>
    <x:mergeCell ref="C6:F6"/>
  </x:mergeCells>
  <x:conditionalFormatting sqref="F9:F99">
    <x:cfRule type="beginsWith" dxfId="0" priority="1" operator="beginsWith" text="Dostępny"/>
    <x:cfRule type="beginsWith" dxfId="1" priority="2" operator="beginsWith" text="Brak"/>
  </x:conditionalFormatting>
  <x:pageMargins left="0.7" right="0.7" top="0.75" bottom="0.75" header="0.3" footer="0.3"/>
  <x:tableParts count="1">
    <x:tablePart xmlns:r="http://schemas.openxmlformats.org/officeDocument/2006/relationships" r:id="Rdddcc18eb5714a56"/>
  </x:tableParts>
</x:worksheet>
</file>