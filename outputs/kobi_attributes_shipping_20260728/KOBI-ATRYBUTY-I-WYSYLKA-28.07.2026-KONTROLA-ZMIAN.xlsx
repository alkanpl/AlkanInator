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04b38aa0e43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dsumowanie" sheetId="1" r:id="Rf9e8d35852174c5e"/>
    <x:sheet xmlns:r="http://schemas.openxmlformats.org/officeDocument/2006/relationships" name="Zmiany atrybutów" sheetId="2" r:id="R78ec45c82cde4ce4"/>
    <x:sheet xmlns:r="http://schemas.openxmlformats.org/officeDocument/2006/relationships" name="Kontrola produktów" sheetId="3" r:id="Rab3e4db8fd1d4990"/>
    <x:sheet xmlns:r="http://schemas.openxmlformats.org/officeDocument/2006/relationships" name="Braki do sprawdzenia" sheetId="4" r:id="R673afbab87254ded"/>
    <x:sheet xmlns:r="http://schemas.openxmlformats.org/officeDocument/2006/relationships" name="Nowe kolumny" sheetId="5" r:id="R81cff2981c41430f"/>
    <x:sheet xmlns:r="http://schemas.openxmlformats.org/officeDocument/2006/relationships" name="Kontrola wysyłki" sheetId="6" r:id="Rc2aa15c15b244a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@"/>
    <x:numFmt numFmtId="202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i/>
      <x:sz val="11"/>
      <x:color rgb="FF244A57"/>
      <x:name val="Carlito"/>
    </x:font>
    <x:font>
      <x:b/>
      <x:sz val="11"/>
      <x:color rgb="FF244A57"/>
      <x:name val="Carlito"/>
    </x:font>
    <x:font>
      <x:b/>
      <x:sz val="11"/>
      <x:color rgb="FF123B4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B4A"/>
      </x:patternFill>
    </x:fill>
    <x:fill>
      <x:patternFill patternType="solid">
        <x:fgColor rgb="FFE8F1F4"/>
      </x:patternFill>
    </x:fill>
    <x:fill>
      <x:patternFill patternType="solid">
        <x:fgColor rgb="FF1F6F78"/>
      </x:patternFill>
    </x:fill>
    <x:fill>
      <x:patternFill patternType="solid">
        <x:fgColor rgb="FFF7FAFB"/>
      </x:patternFill>
    </x:fill>
  </x:fills>
  <x:borders count="4">
    <x:border/>
    <x:border>
      <x:bottom style="thin">
        <x:color rgb="FFD9E3E7"/>
      </x:bottom>
    </x:border>
    <x:border>
      <x:top style="thin">
        <x:color rgb="FFD9E3E7"/>
      </x:top>
      <x:bottom style="thin">
        <x:color rgb="FFD9E3E7"/>
      </x:bottom>
    </x:border>
    <x:border>
      <x:top style="thin">
        <x:color rgb="FFD9E3E7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1" xfId="0" applyNumberFormat="1" applyFont="1" applyFill="1" applyBorder="1" applyAlignment="1">
      <x:alignment vertical="center"/>
    </x:xf>
    <x:xf numFmtId="0" fontId="0" fillId="5" borderId="2" xfId="0" applyNumberFormat="1" applyFont="1" applyFill="1" applyBorder="1" applyAlignment="1">
      <x:alignment vertical="center"/>
    </x:xf>
    <x:xf numFmtId="0" fontId="0" fillId="5" borderId="3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3" fillId="5" borderId="3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0" fontId="4" fillId="5" borderId="2" xfId="0" applyNumberFormat="1" applyFont="1" applyFill="1" applyBorder="1" applyAlignment="1">
      <x:alignment vertical="center"/>
    </x:xf>
    <x:xf numFmtId="200" fontId="4" fillId="5" borderId="3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201" fontId="0" fillId="0" borderId="3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2" xfId="0" applyNumberFormat="1" applyFont="1" applyFill="1" applyBorder="1" applyAlignment="1">
      <x:alignment vertical="center" wrapText="1"/>
    </x:xf>
    <x:xf numFmtId="202" fontId="0" fillId="0" borderId="3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2" fontId="0" fillId="0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202" fontId="0" fillId="0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2" xfId="0" applyNumberFormat="1" applyFont="1" applyFill="1" applyBorder="1" applyAlignment="1">
      <x:alignment horizontal="center" vertical="center" wrapText="1"/>
    </x:xf>
    <x:xf numFmtId="200" fontId="0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4">
    <x:dxf>
      <x:font>
        <x:b/>
        <x:color rgb="FF2E6B2E"/>
      </x:font>
      <x:fill>
        <x:patternFill patternType="solid">
          <x:bgColor rgb="FFE2F0D9"/>
        </x:patternFill>
      </x:fill>
    </x:dxf>
    <x:dxf>
      <x:font>
        <x:b/>
        <x:color rgb="FF2E6B2E"/>
      </x:font>
      <x:fill>
        <x:patternFill patternType="solid">
          <x:bgColor rgb="FFE2F0D9"/>
        </x:patternFill>
      </x:fill>
    </x:dxf>
    <x:dxf>
      <x:font>
        <x:b/>
        <x:color rgb="FF2E6B2E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2E6B2E"/>
      </x:font>
      <x:fill>
        <x:patternFill patternType="solid">
          <x:bgColor rgb="FFE2F0D9"/>
        </x:patternFill>
      </x:fill>
    </x:dxf>
    <x:dxf>
      <x:font>
        <x:b/>
        <x:color rgb="FF2E6B2E"/>
      </x:font>
      <x:fill>
        <x:patternFill patternType="solid">
          <x:bgColor rgb="FFE2F0D9"/>
        </x:patternFill>
      </x:fill>
    </x:dxf>
    <x:dxf>
      <x:font>
        <x:b/>
        <x:color rgb="FF2E6B2E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2E6B2E"/>
      </x:font>
      <x:fill>
        <x:patternFill patternType="solid">
          <x:bgColor rgb="FFE2F0D9"/>
        </x:patternFill>
      </x:fill>
    </x:dxf>
    <x:dxf>
      <x:font>
        <x:b/>
        <x:color rgb="FF2E6B2E"/>
      </x:font>
      <x:fill>
        <x:patternFill patternType="solid">
          <x:bgColor rgb="FFE2F0D9"/>
        </x:patternFill>
      </x:fill>
    </x:dxf>
    <x:dxf>
      <x:font>
        <x:b/>
        <x:color rgb="FF2E6B2E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2E6B2E"/>
      </x:font>
      <x:fill>
        <x:patternFill patternType="solid">
          <x:bgColor rgb="FFE2F0D9"/>
        </x:patternFill>
      </x:fill>
    </x:dxf>
    <x:dxf>
      <x:font>
        <x:b/>
        <x:color rgb="FF2E6B2E"/>
      </x:font>
      <x:fill>
        <x:patternFill patternType="solid">
          <x:bgColor rgb="FFE2F0D9"/>
        </x:patternFill>
      </x:fill>
    </x:dxf>
    <x:dxf>
      <x:font>
        <x:b/>
        <x:color rgb="FF2E6B2E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87fe58f7054749" /><Relationship Type="http://schemas.openxmlformats.org/officeDocument/2006/relationships/theme" Target="/xl/theme/theme1.xml" Id="Re93cefa5bab04b03" /><Relationship Type="http://schemas.openxmlformats.org/officeDocument/2006/relationships/sharedStrings" Target="/xl/sharedStrings.xml" Id="R63f1fd2d63c14fb4" /><Relationship Type="http://schemas.openxmlformats.org/officeDocument/2006/relationships/worksheet" Target="/xl/worksheets/sheet1.xml" Id="Rf9e8d35852174c5e" /><Relationship Type="http://schemas.openxmlformats.org/officeDocument/2006/relationships/worksheet" Target="/xl/worksheets/sheet2.xml" Id="R78ec45c82cde4ce4" /><Relationship Type="http://schemas.openxmlformats.org/officeDocument/2006/relationships/worksheet" Target="/xl/worksheets/sheet3.xml" Id="Rab3e4db8fd1d4990" /><Relationship Type="http://schemas.openxmlformats.org/officeDocument/2006/relationships/worksheet" Target="/xl/worksheets/sheet4.xml" Id="R673afbab87254ded" /><Relationship Type="http://schemas.openxmlformats.org/officeDocument/2006/relationships/worksheet" Target="/xl/worksheets/sheet5.xml" Id="R81cff2981c41430f" /><Relationship Type="http://schemas.openxmlformats.org/officeDocument/2006/relationships/worksheet" Target="/xl/worksheets/sheet6.xml" Id="Rc2aa15c15b244ac7" /></Relationships>
</file>

<file path=xl/tables/table1.xml><?xml version="1.0" encoding="utf-8"?>
<x:table xmlns:x="http://schemas.openxmlformats.org/spreadsheetml/2006/main" id="1" name="KobiAttributesShippingChanges" displayName="KobiAttributesShippingChanges" ref="A1:N243" headerRowCount="1" totalsRowCount="0" totalsRowShown="0">
  <x:autoFilter ref="A1:N243"/>
  <x:tableColumns count="14">
    <x:tableColumn id="1" name="ID produktu"/>
    <x:tableColumn id="2" name="SKU"/>
    <x:tableColumn id="3" name="Tytuł produktu"/>
    <x:tableColumn id="4" name="Reguła kategorii"/>
    <x:tableColumn id="5" name="Atrybut"/>
    <x:tableColumn id="6" name="Rodzaj zmiany"/>
    <x:tableColumn id="7" name="Stara wartość"/>
    <x:tableColumn id="8" name="Nowa wartość"/>
    <x:tableColumn id="9" name="Źródło"/>
    <x:tableColumn id="10" name="Pole źródłowe"/>
    <x:tableColumn id="11" name="Pewność"/>
    <x:tableColumn id="12" name="Status"/>
    <x:tableColumn id="13" name="Nowa kolumna"/>
    <x:tableColumn id="14" name="Komórka w imporci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obiAttributesShippingProducts" displayName="KobiAttributesShippingProducts" ref="A1:L56" headerRowCount="1" totalsRowCount="0" totalsRowShown="0">
  <x:autoFilter ref="A1:L56"/>
  <x:tableColumns count="12">
    <x:tableColumn id="1" name="ID produktu"/>
    <x:tableColumn id="2" name="SKU"/>
    <x:tableColumn id="3" name="Tytuł produktu"/>
    <x:tableColumn id="4" name="Kategorie z pliku"/>
    <x:tableColumn id="5" name="Reguła kategorii"/>
    <x:tableColumn id="6" name="Atrybuty obowiązkowe"/>
    <x:tableColumn id="7" name="Liczba zmian"/>
    <x:tableColumn id="8" name="Dodane obowiązkowe"/>
    <x:tableColumn id="9" name="Dodane dodatkowe"/>
    <x:tableColumn id="10" name="Brakujące atrybuty"/>
    <x:tableColumn id="11" name="Wyjątki warunkowe"/>
    <x:tableColumn id="12" name="Status kompletności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obiAttributesShippingGaps" displayName="KobiAttributesShippingGaps" ref="A1:H14" headerRowCount="1" totalsRowCount="0" totalsRowShown="0">
  <x:autoFilter ref="A1:H14"/>
  <x:tableColumns count="8">
    <x:tableColumn id="1" name="ID produktu"/>
    <x:tableColumn id="2" name="SKU"/>
    <x:tableColumn id="3" name="Tytuł produktu"/>
    <x:tableColumn id="4" name="Kategorie z pliku"/>
    <x:tableColumn id="5" name="Reguła kategorii"/>
    <x:tableColumn id="6" name="Brakujący atrybut"/>
    <x:tableColumn id="7" name="Powód"/>
    <x:tableColumn id="8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KobiAttributesShippingNewColumns" displayName="KobiAttributesShippingNewColumns" ref="A1:F3" headerRowCount="1" totalsRowCount="0" totalsRowShown="0">
  <x:autoFilter ref="A1:F3"/>
  <x:tableColumns count="6">
    <x:tableColumn id="1" name="Atrybut"/>
    <x:tableColumn id="2" name="Nagłówek w pliku WooCommerce"/>
    <x:tableColumn id="3" name="Kolumna"/>
    <x:tableColumn id="4" name="Wypełnione wartości"/>
    <x:tableColumn id="5" name="Nierozwiązane braki"/>
    <x:tableColumn id="6" name="Uwagi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KobiAttributesShippingControl" displayName="KobiAttributesShippingControl" ref="A1:G56" headerRowCount="1" totalsRowCount="0" totalsRowShown="0">
  <x:autoFilter ref="A1:G56"/>
  <x:tableColumns count="7">
    <x:tableColumn id="1" name="ID produktu"/>
    <x:tableColumn id="2" name="SKU"/>
    <x:tableColumn id="3" name="Tytuł produktu"/>
    <x:tableColumn id="4" name="Shipping Class"/>
    <x:tableColumn id="5" name="Backorders"/>
    <x:tableColumn id="6" name="Wysyłka w ciągu"/>
    <x:tableColumn id="7" name="Status kontrol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ce2d1cad8c46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e50cd7df3f47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49a70deab3543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0270dc914a4f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c0e4e52212343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4" hidden="0" customWidth="1"/>
    <x:col min="4" max="4" width="35" hidden="0" customWidth="1"/>
    <x:col min="5" max="5" width="14" hidden="0" customWidth="1"/>
    <x:col min="6" max="6" width="4" hidden="0" customWidth="1"/>
    <x:col min="7" max="7" width="42" hidden="0" customWidth="1"/>
    <x:col min="8" max="8" width="14" hidden="0" customWidth="1"/>
  </x:cols>
  <x:sheetData>
    <x:row r="1" ht="34" customHeight="1">
      <x:c r="A1" s="3" t="str">
        <x:v>Kontrola atrybutów i wysyłki KOBI — WooCommerce</x:v>
      </x:c>
      <x:c r="B1" s="3"/>
      <x:c r="C1" s="3"/>
      <x:c r="D1" s="3"/>
      <x:c r="E1" s="3"/>
      <x:c r="F1" s="3"/>
      <x:c r="G1" s="3"/>
      <x:c r="H1" s="3"/>
    </x:row>
    <x:row r="2" ht="46" customHeight="1">
      <x:c r="A2" s="7" t="str">
        <x:v>Uzupełniono wyłącznie puste komórki atrybutów. Kategorie, status publikacji, Shipping Class, Backorders i termin wysyłki zachowano dokładnie z pliku źródłowego.</x:v>
      </x:c>
      <x:c r="B2" s="7"/>
      <x:c r="C2" s="7"/>
      <x:c r="D2" s="7"/>
      <x:c r="E2" s="7"/>
      <x:c r="F2" s="7"/>
      <x:c r="G2" s="7"/>
      <x:c r="H2" s="7"/>
    </x:row>
    <x:row r="4" ht="38" customHeight="1">
      <x:c r="A4" s="12" t="str">
        <x:v>Wskaźnik</x:v>
      </x:c>
      <x:c r="B4" s="12" t="str">
        <x:v>Wartość</x:v>
      </x:c>
      <x:c r="D4" s="12" t="str">
        <x:v>Uzupełniony atrybut</x:v>
      </x:c>
      <x:c r="E4" s="12" t="str">
        <x:v>Liczba pól</x:v>
      </x:c>
      <x:c r="G4" s="12" t="str">
        <x:v>Reguła kategorii</x:v>
      </x:c>
      <x:c r="H4" s="12" t="str">
        <x:v>Produkty</x:v>
      </x:c>
    </x:row>
    <x:row r="5">
      <x:c r="A5" s="20" t="str">
        <x:v>Produkty w pliku</x:v>
      </x:c>
      <x:c r="B5" s="29" t="n">
        <x:f>COUNTA('Kontrola produktów'!A2:A56)</x:f>
        <x:v>55</x:v>
      </x:c>
      <x:c r="D5" s="38" t="str">
        <x:v>Barwa światła</x:v>
      </x:c>
      <x:c r="E5" s="41" t="n">
        <x:f>COUNTIF('Zmiany atrybutów'!E2:E243,D5)</x:f>
        <x:v>5</x:v>
      </x:c>
      <x:c r="G5" s="38" t="str">
        <x:v>Girlandy</x:v>
      </x:c>
      <x:c r="H5" s="41" t="n">
        <x:f>COUNTIF('Kontrola produktów'!E2:E56,G5)</x:f>
        <x:v>1</x:v>
      </x:c>
    </x:row>
    <x:row r="6">
      <x:c r="A6" s="21" t="str">
        <x:v>Produkty z uzupełnieniami</x:v>
      </x:c>
      <x:c r="B6" s="30" t="n">
        <x:f>COUNTIF('Kontrola produktów'!G2:G56,"&gt;0")</x:f>
        <x:v>55</x:v>
      </x:c>
      <x:c r="D6" s="39" t="str">
        <x:v>Czas świecenia</x:v>
      </x:c>
      <x:c r="E6" s="42" t="n">
        <x:f>COUNTIF('Zmiany atrybutów'!E2:E243,D6)</x:f>
        <x:v>1</x:v>
      </x:c>
      <x:c r="G6" s="39" t="str">
        <x:v>High Bay</x:v>
      </x:c>
      <x:c r="H6" s="42" t="n">
        <x:f>COUNTIF('Kontrola produktów'!E2:E56,G6)</x:f>
        <x:v>6</x:v>
      </x:c>
    </x:row>
    <x:row r="7">
      <x:c r="A7" s="21" t="str">
        <x:v>Łącznie dodane wartości</x:v>
      </x:c>
      <x:c r="B7" s="30" t="n">
        <x:f>COUNTA('Zmiany atrybutów'!A2:A243)</x:f>
        <x:v>242</x:v>
      </x:c>
      <x:c r="D7" s="39" t="str">
        <x:v>Czujnik ruchu</x:v>
      </x:c>
      <x:c r="E7" s="42" t="n">
        <x:f>COUNTIF('Zmiany atrybutów'!E2:E243,D7)</x:f>
        <x:v>8</x:v>
      </x:c>
      <x:c r="G7" s="39" t="str">
        <x:v>Lampy elewacyjne, kinkiety zewnętrzne</x:v>
      </x:c>
      <x:c r="H7" s="42" t="n">
        <x:f>COUNTIF('Kontrola produktów'!E2:E56,G7)</x:f>
        <x:v>2</x:v>
      </x:c>
    </x:row>
    <x:row r="8">
      <x:c r="A8" s="21" t="str">
        <x:v>Dodane pola obowiązkowe</x:v>
      </x:c>
      <x:c r="B8" s="30" t="n">
        <x:f>COUNTIF('Zmiany atrybutów'!F2:F243,"Atrybut obowiązkowy")</x:f>
        <x:v>154</x:v>
      </x:c>
      <x:c r="D8" s="39" t="str">
        <x:v>Długość</x:v>
      </x:c>
      <x:c r="E8" s="42" t="n">
        <x:f>COUNTIF('Zmiany atrybutów'!E2:E243,D8)</x:f>
        <x:v>5</x:v>
      </x:c>
      <x:c r="G8" s="39" t="str">
        <x:v>Lampy uliczne</x:v>
      </x:c>
      <x:c r="H8" s="42" t="n">
        <x:f>COUNTIF('Kontrola produktów'!E2:E56,G8)</x:f>
        <x:v>8</x:v>
      </x:c>
    </x:row>
    <x:row r="9">
      <x:c r="A9" s="21" t="str">
        <x:v>Dodane pola dodatkowe</x:v>
      </x:c>
      <x:c r="B9" s="30" t="n">
        <x:f>COUNTIF('Zmiany atrybutów'!F2:F243,"Atrybut dodatkowy potwierdzony")</x:f>
        <x:v>88</x:v>
      </x:c>
      <x:c r="D9" s="39" t="str">
        <x:v>Kąt świecenia [°]</x:v>
      </x:c>
      <x:c r="E9" s="42" t="n">
        <x:f>COUNTIF('Zmiany atrybutów'!E2:E243,D9)</x:f>
        <x:v>21</x:v>
      </x:c>
      <x:c r="G9" s="39" t="str">
        <x:v>Latarki</x:v>
      </x:c>
      <x:c r="H9" s="42" t="n">
        <x:f>COUNTIF('Kontrola produktów'!E2:E56,G9)</x:f>
        <x:v>1</x:v>
      </x:c>
    </x:row>
    <x:row r="10">
      <x:c r="A10" s="21" t="str">
        <x:v>Nowe kolumny atrybutów</x:v>
      </x:c>
      <x:c r="B10" s="30" t="n">
        <x:f>COUNTA('Nowe kolumny'!A2:A3)</x:f>
        <x:v>2</x:v>
      </x:c>
      <x:c r="D10" s="39" t="str">
        <x:v>Kolor</x:v>
      </x:c>
      <x:c r="E10" s="42" t="n">
        <x:f>COUNTIF('Zmiany atrybutów'!E2:E243,D10)</x:f>
        <x:v>26</x:v>
      </x:c>
      <x:c r="G10" s="39" t="str">
        <x:v>Naświetlacze LED</x:v>
      </x:c>
      <x:c r="H10" s="42" t="n">
        <x:f>COUNTIF('Kontrola produktów'!E2:E56,G10)</x:f>
        <x:v>6</x:v>
      </x:c>
    </x:row>
    <x:row r="11">
      <x:c r="A11" s="21" t="str">
        <x:v>Produkty kompletne</x:v>
      </x:c>
      <x:c r="B11" s="30" t="n">
        <x:f>COUNTIF('Kontrola produktów'!L2:L56,"KOMPLET")</x:f>
        <x:v>41</x:v>
      </x:c>
      <x:c r="D11" s="39" t="str">
        <x:v>Kształt</x:v>
      </x:c>
      <x:c r="E11" s="42" t="n">
        <x:f>COUNTIF('Zmiany atrybutów'!E2:E243,D11)</x:f>
        <x:v>7</x:v>
      </x:c>
      <x:c r="G11" s="39" t="str">
        <x:v>Oprawy hermetyczne</x:v>
      </x:c>
      <x:c r="H11" s="42" t="n">
        <x:f>COUNTIF('Kontrola produktów'!E2:E56,G11)</x:f>
        <x:v>8</x:v>
      </x:c>
    </x:row>
    <x:row r="12">
      <x:c r="A12" s="21" t="str">
        <x:v>Produkty do sprawdzenia</x:v>
      </x:c>
      <x:c r="B12" s="30" t="n">
        <x:f>COUNTIF('Kontrola produktów'!L2:L56,"DO_SPRAWDZENIA")</x:f>
        <x:v>10</x:v>
      </x:c>
      <x:c r="D12" s="39" t="str">
        <x:v>Liczba źródeł światła</x:v>
      </x:c>
      <x:c r="E12" s="42" t="n">
        <x:f>COUNTIF('Zmiany atrybutów'!E2:E243,D12)</x:f>
        <x:v>10</x:v>
      </x:c>
      <x:c r="G12" s="39" t="str">
        <x:v>Oprawy liniowe, belki</x:v>
      </x:c>
      <x:c r="H12" s="42" t="n">
        <x:f>COUNTIF('Kontrola produktów'!E2:E56,G12)</x:f>
        <x:v>2</x:v>
      </x:c>
    </x:row>
    <x:row r="13">
      <x:c r="A13" s="21" t="str">
        <x:v>Produkty / kategorie bez wymagań</x:v>
      </x:c>
      <x:c r="B13" s="30" t="n">
        <x:f>COUNTIF('Kontrola produktów'!L2:L56,"NIE_DOTYCZY")</x:f>
        <x:v>4</x:v>
      </x:c>
      <x:c r="D13" s="39" t="str">
        <x:v>Moc [W]</x:v>
      </x:c>
      <x:c r="E13" s="42" t="n">
        <x:f>COUNTIF('Zmiany atrybutów'!E2:E243,D13)</x:f>
        <x:v>4</x:v>
      </x:c>
      <x:c r="G13" s="39" t="str">
        <x:v>Oprawy najazdowe</x:v>
      </x:c>
      <x:c r="H13" s="42" t="n">
        <x:f>COUNTIF('Kontrola produktów'!E2:E56,G13)</x:f>
        <x:v>2</x:v>
      </x:c>
    </x:row>
    <x:row r="14">
      <x:c r="A14" s="21" t="str">
        <x:v>Brakujące pola do sprawdzenia</x:v>
      </x:c>
      <x:c r="B14" s="30" t="n">
        <x:f>COUNTA('Braki do sprawdzenia'!A2:A14)</x:f>
        <x:v>13</x:v>
      </x:c>
      <x:c r="D14" s="39" t="str">
        <x:v>Napięcie [V]</x:v>
      </x:c>
      <x:c r="E14" s="42" t="n">
        <x:f>COUNTIF('Zmiany atrybutów'!E2:E243,D14)</x:f>
        <x:v>37</x:v>
      </x:c>
      <x:c r="G14" s="39" t="str">
        <x:v>Oprawy natynkowe</x:v>
      </x:c>
      <x:c r="H14" s="42" t="n">
        <x:f>COUNTIF('Kontrola produktów'!E2:E56,G14)</x:f>
        <x:v>10</x:v>
      </x:c>
    </x:row>
    <x:row r="15">
      <x:c r="A15" s="22" t="str">
        <x:v>Wiersze wysyłki zachowane</x:v>
      </x:c>
      <x:c r="B15" s="31" t="n">
        <x:f>COUNTIF('Kontrola wysyłki'!G2:G56,"BEZ ZMIAN")</x:f>
        <x:v>55</x:v>
      </x:c>
      <x:c r="D15" s="39" t="str">
        <x:v>Sposób montażu</x:v>
      </x:c>
      <x:c r="E15" s="42" t="n">
        <x:f>COUNTIF('Zmiany atrybutów'!E2:E243,D15)</x:f>
        <x:v>15</x:v>
      </x:c>
      <x:c r="G15" s="39" t="str">
        <x:v>Oprawy ogrodowe</x:v>
      </x:c>
      <x:c r="H15" s="42" t="n">
        <x:f>COUNTIF('Kontrola produktów'!E2:E56,G15)</x:f>
        <x:v>3</x:v>
      </x:c>
    </x:row>
    <x:row r="16">
      <x:c r="D16" s="39" t="str">
        <x:v>Stopień ochrony [IP]</x:v>
      </x:c>
      <x:c r="E16" s="42" t="n">
        <x:f>COUNTIF('Zmiany atrybutów'!E2:E243,D16)</x:f>
        <x:v>21</x:v>
      </x:c>
      <x:c r="G16" s="39" t="str">
        <x:v>Panele LED</x:v>
      </x:c>
      <x:c r="H16" s="42" t="n">
        <x:f>COUNTIF('Kontrola produktów'!E2:E56,G16)</x:f>
        <x:v>1</x:v>
      </x:c>
    </x:row>
    <x:row r="17">
      <x:c r="D17" s="39" t="str">
        <x:v>Stopień odporności [IK]</x:v>
      </x:c>
      <x:c r="E17" s="42" t="n">
        <x:f>COUNTIF('Zmiany atrybutów'!E2:E243,D17)</x:f>
        <x:v>7</x:v>
      </x:c>
      <x:c r="G17" s="40" t="str">
        <x:v>Plafony</x:v>
      </x:c>
      <x:c r="H17" s="43" t="n">
        <x:f>COUNTIF('Kontrola produktów'!E2:E56,G17)</x:f>
        <x:v>5</x:v>
      </x:c>
    </x:row>
    <x:row r="18">
      <x:c r="D18" s="39" t="str">
        <x:v>Strumień świetlny [lm]</x:v>
      </x:c>
      <x:c r="E18" s="42" t="n">
        <x:f>COUNTIF('Zmiany atrybutów'!E2:E243,D18)</x:f>
        <x:v>3</x:v>
      </x:c>
    </x:row>
    <x:row r="19">
      <x:c r="D19" s="39" t="str">
        <x:v>Temperatura barwowa [K]</x:v>
      </x:c>
      <x:c r="E19" s="42" t="n">
        <x:f>COUNTIF('Zmiany atrybutów'!E2:E243,D19)</x:f>
        <x:v>1</x:v>
      </x:c>
    </x:row>
    <x:row r="20">
      <x:c r="D20" s="39" t="str">
        <x:v>Trzonek</x:v>
      </x:c>
      <x:c r="E20" s="42" t="n">
        <x:f>COUNTIF('Zmiany atrybutów'!E2:E243,D20)</x:f>
        <x:v>8</x:v>
      </x:c>
    </x:row>
    <x:row r="21">
      <x:c r="D21" s="39" t="str">
        <x:v>Typ produktu</x:v>
      </x:c>
      <x:c r="E21" s="42" t="n">
        <x:f>COUNTIF('Zmiany atrybutów'!E2:E243,D21)</x:f>
        <x:v>32</x:v>
      </x:c>
    </x:row>
    <x:row r="22">
      <x:c r="D22" s="39" t="str">
        <x:v>Zasilanie</x:v>
      </x:c>
      <x:c r="E22" s="42" t="n">
        <x:f>COUNTIF('Zmiany atrybutów'!E2:E243,D22)</x:f>
        <x:v>19</x:v>
      </x:c>
    </x:row>
    <x:row r="23">
      <x:c r="D23" s="40" t="str">
        <x:v>Źródło światła</x:v>
      </x:c>
      <x:c r="E23" s="43" t="n">
        <x:f>COUNTIF('Zmiany atrybutów'!E2:E243,D23)</x:f>
        <x:v>12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60" hidden="0" customWidth="1"/>
    <x:col min="4" max="4" width="38" hidden="0" customWidth="1"/>
    <x:col min="5" max="5" width="34" hidden="0" customWidth="1"/>
    <x:col min="6" max="6" width="34" hidden="0" customWidth="1"/>
    <x:col min="7" max="7" width="16" hidden="0" customWidth="1"/>
    <x:col min="8" max="8" width="28" hidden="0" customWidth="1"/>
    <x:col min="9" max="9" width="46" hidden="0" customWidth="1"/>
    <x:col min="10" max="10" width="36" hidden="0" customWidth="1"/>
    <x:col min="11" max="11" width="13" hidden="0" customWidth="1"/>
    <x:col min="12" max="12" width="18" hidden="0" customWidth="1"/>
    <x:col min="13" max="13" width="16" hidden="0" customWidth="1"/>
    <x:col min="14" max="14" width="24" hidden="0" customWidth="1"/>
  </x:cols>
  <x:sheetData>
    <x:row r="1" ht="46" customHeight="1">
      <x:c r="A1" s="12" t="str">
        <x:v>ID produktu</x:v>
      </x:c>
      <x:c r="B1" s="12" t="str">
        <x:v>SKU</x:v>
      </x:c>
      <x:c r="C1" s="12" t="str">
        <x:v>Tytuł produktu</x:v>
      </x:c>
      <x:c r="D1" s="12" t="str">
        <x:v>Reguła kategorii</x:v>
      </x:c>
      <x:c r="E1" s="12" t="str">
        <x:v>Atrybut</x:v>
      </x:c>
      <x:c r="F1" s="12" t="str">
        <x:v>Rodzaj zmiany</x:v>
      </x:c>
      <x:c r="G1" s="12" t="str">
        <x:v>Stara wartość</x:v>
      </x:c>
      <x:c r="H1" s="12" t="str">
        <x:v>Nowa wartość</x:v>
      </x:c>
      <x:c r="I1" s="12" t="str">
        <x:v>Źródło</x:v>
      </x:c>
      <x:c r="J1" s="12" t="str">
        <x:v>Pole źródłowe</x:v>
      </x:c>
      <x:c r="K1" s="12" t="str">
        <x:v>Pewność</x:v>
      </x:c>
      <x:c r="L1" s="12" t="str">
        <x:v>Status</x:v>
      </x:c>
      <x:c r="M1" s="12" t="str">
        <x:v>Nowa kolumna</x:v>
      </x:c>
      <x:c r="N1" s="12" t="str">
        <x:v>Komórka w imporcie</x:v>
      </x:c>
    </x:row>
    <x:row r="2">
      <x:c r="A2" s="44" t="str">
        <x:v>25274</x:v>
      </x:c>
      <x:c r="B2" s="44" t="str">
        <x:v>KPOH36CH/KOB</x:v>
      </x:c>
      <x:c r="C2" s="38" t="str">
        <x:v>Oprawa Downlight GU10 tuba ruchoma chrom aluminium Kobi OH36 KPOH36CH</x:v>
      </x:c>
      <x:c r="D2" s="38" t="str">
        <x:v>Oprawy natynkowe</x:v>
      </x:c>
      <x:c r="E2" s="38" t="str">
        <x:v>Liczba źródeł światła</x:v>
      </x:c>
      <x:c r="F2" s="38" t="str">
        <x:v>Atrybut obowiązkowy</x:v>
      </x:c>
      <x:c r="G2" s="38" t="str">
        <x:v>(puste)</x:v>
      </x:c>
      <x:c r="H2" s="38" t="str">
        <x:v>1</x:v>
      </x:c>
      <x:c r="I2" s="38" t="str">
        <x:v>nazwa produktu w eksporcie WooCommerce</x:v>
      </x:c>
      <x:c r="J2" s="38" t="str">
        <x:v>liczba źródeł w nazwie / konstrukcja oprawy</x:v>
      </x:c>
      <x:c r="K2" s="50" t="n">
        <x:v>0.94</x:v>
      </x:c>
      <x:c r="L2" s="51" t="str">
        <x:v>WARNING</x:v>
      </x:c>
      <x:c r="M2" s="51" t="str">
        <x:v>NIE</x:v>
      </x:c>
      <x:c r="N2" s="51" t="str">
        <x:v>Worksheet!AK2</x:v>
      </x:c>
    </x:row>
    <x:row r="3">
      <x:c r="A3" s="45" t="str">
        <x:v>25274</x:v>
      </x:c>
      <x:c r="B3" s="45" t="str">
        <x:v>KPOH36CH/KOB</x:v>
      </x:c>
      <x:c r="C3" s="39" t="str">
        <x:v>Oprawa Downlight GU10 tuba ruchoma chrom aluminium Kobi OH36 KPOH36CH</x:v>
      </x:c>
      <x:c r="D3" s="39" t="str">
        <x:v>Oprawy natynkowe</x:v>
      </x:c>
      <x:c r="E3" s="39" t="str">
        <x:v>Sposób montażu</x:v>
      </x:c>
      <x:c r="F3" s="39" t="str">
        <x:v>Atrybut obowiązkowy</x:v>
      </x:c>
      <x:c r="G3" s="39" t="str">
        <x:v>(puste)</x:v>
      </x:c>
      <x:c r="H3" s="39" t="str">
        <x:v>Natynkowy</x:v>
      </x:c>
      <x:c r="I3" s="39" t="str">
        <x:v>Atrybut Produktu: Rodzaj</x:v>
      </x:c>
      <x:c r="J3" s="39" t="str">
        <x:v>kategoria produktu</x:v>
      </x:c>
      <x:c r="K3" s="52" t="n">
        <x:v>0.99</x:v>
      </x:c>
      <x:c r="L3" s="53" t="str">
        <x:v>OK</x:v>
      </x:c>
      <x:c r="M3" s="53" t="str">
        <x:v>NIE</x:v>
      </x:c>
      <x:c r="N3" s="53" t="str">
        <x:v>Worksheet!AM2</x:v>
      </x:c>
    </x:row>
    <x:row r="4">
      <x:c r="A4" s="45" t="str">
        <x:v>25274</x:v>
      </x:c>
      <x:c r="B4" s="45" t="str">
        <x:v>KPOH36CH/KOB</x:v>
      </x:c>
      <x:c r="C4" s="39" t="str">
        <x:v>Oprawa Downlight GU10 tuba ruchoma chrom aluminium Kobi OH36 KPOH36CH</x:v>
      </x:c>
      <x:c r="D4" s="39" t="str">
        <x:v>Oprawy natynkowe</x:v>
      </x:c>
      <x:c r="E4" s="39" t="str">
        <x:v>Stopień ochrony [IP]</x:v>
      </x:c>
      <x:c r="F4" s="39" t="str">
        <x:v>Atrybut obowiązkowy</x:v>
      </x:c>
      <x:c r="G4" s="39" t="str">
        <x:v>(puste)</x:v>
      </x:c>
      <x:c r="H4" s="39" t="str">
        <x:v>IP 20</x:v>
      </x:c>
      <x:c r="I4" s="39" t="str">
        <x:v>https://b2b.kobi.pl/pl/file/download/9256</x:v>
      </x:c>
      <x:c r="J4" s="39" t="str">
        <x:v>karta rodziny OH36/OH37</x:v>
      </x:c>
      <x:c r="K4" s="52" t="n">
        <x:v>0.99</x:v>
      </x:c>
      <x:c r="L4" s="53" t="str">
        <x:v>OK</x:v>
      </x:c>
      <x:c r="M4" s="53" t="str">
        <x:v>NIE</x:v>
      </x:c>
      <x:c r="N4" s="53" t="str">
        <x:v>Worksheet!Q2</x:v>
      </x:c>
    </x:row>
    <x:row r="5">
      <x:c r="A5" s="45" t="str">
        <x:v>25276</x:v>
      </x:c>
      <x:c r="B5" s="45" t="str">
        <x:v>002091/KOB</x:v>
      </x:c>
      <x:c r="C5" s="39" t="str">
        <x:v>Oprawa Downlight GU10 tuba ruchoma czarna Kobi OH36 KPOH36CZ</x:v>
      </x:c>
      <x:c r="D5" s="39" t="str">
        <x:v>Oprawy natynkowe</x:v>
      </x:c>
      <x:c r="E5" s="39" t="str">
        <x:v>Liczba źródeł światła</x:v>
      </x:c>
      <x:c r="F5" s="39" t="str">
        <x:v>Atrybut obowiązkowy</x:v>
      </x:c>
      <x:c r="G5" s="39" t="str">
        <x:v>(puste)</x:v>
      </x:c>
      <x:c r="H5" s="39" t="str">
        <x:v>1</x:v>
      </x:c>
      <x:c r="I5" s="39" t="str">
        <x:v>nazwa produktu w eksporcie WooCommerce</x:v>
      </x:c>
      <x:c r="J5" s="39" t="str">
        <x:v>liczba źródeł w nazwie / konstrukcja oprawy</x:v>
      </x:c>
      <x:c r="K5" s="52" t="n">
        <x:v>0.94</x:v>
      </x:c>
      <x:c r="L5" s="53" t="str">
        <x:v>WARNING</x:v>
      </x:c>
      <x:c r="M5" s="53" t="str">
        <x:v>NIE</x:v>
      </x:c>
      <x:c r="N5" s="53" t="str">
        <x:v>Worksheet!AK3</x:v>
      </x:c>
    </x:row>
    <x:row r="6">
      <x:c r="A6" s="45" t="str">
        <x:v>25276</x:v>
      </x:c>
      <x:c r="B6" s="45" t="str">
        <x:v>002091/KOB</x:v>
      </x:c>
      <x:c r="C6" s="39" t="str">
        <x:v>Oprawa Downlight GU10 tuba ruchoma czarna Kobi OH36 KPOH36CZ</x:v>
      </x:c>
      <x:c r="D6" s="39" t="str">
        <x:v>Oprawy natynkowe</x:v>
      </x:c>
      <x:c r="E6" s="39" t="str">
        <x:v>Napięcie [V]</x:v>
      </x:c>
      <x:c r="F6" s="39" t="str">
        <x:v>Atrybut dodatkowy potwierdzony</x:v>
      </x:c>
      <x:c r="G6" s="39" t="str">
        <x:v>(puste)</x:v>
      </x:c>
      <x:c r="H6" s="39" t="str">
        <x:v>230</x:v>
      </x:c>
      <x:c r="I6" s="39" t="str">
        <x:v>aktualny XML Kobi</x:v>
      </x:c>
      <x:c r="J6" s="39" t="str">
        <x:v>Napięcie zasilania</x:v>
      </x:c>
      <x:c r="K6" s="52" t="n">
        <x:v>0.97</x:v>
      </x:c>
      <x:c r="L6" s="53" t="str">
        <x:v>OK</x:v>
      </x:c>
      <x:c r="M6" s="53" t="str">
        <x:v>NIE</x:v>
      </x:c>
      <x:c r="N6" s="53" t="str">
        <x:v>Worksheet!AG3</x:v>
      </x:c>
    </x:row>
    <x:row r="7">
      <x:c r="A7" s="45" t="str">
        <x:v>25276</x:v>
      </x:c>
      <x:c r="B7" s="45" t="str">
        <x:v>002091/KOB</x:v>
      </x:c>
      <x:c r="C7" s="39" t="str">
        <x:v>Oprawa Downlight GU10 tuba ruchoma czarna Kobi OH36 KPOH36CZ</x:v>
      </x:c>
      <x:c r="D7" s="39" t="str">
        <x:v>Oprawy natynkowe</x:v>
      </x:c>
      <x:c r="E7" s="39" t="str">
        <x:v>Sposób montażu</x:v>
      </x:c>
      <x:c r="F7" s="39" t="str">
        <x:v>Atrybut obowiązkowy</x:v>
      </x:c>
      <x:c r="G7" s="39" t="str">
        <x:v>(puste)</x:v>
      </x:c>
      <x:c r="H7" s="39" t="str">
        <x:v>Natynkowy</x:v>
      </x:c>
      <x:c r="I7" s="39" t="str">
        <x:v>Atrybut Produktu: Rodzaj</x:v>
      </x:c>
      <x:c r="J7" s="39" t="str">
        <x:v>kategoria produktu</x:v>
      </x:c>
      <x:c r="K7" s="52" t="n">
        <x:v>0.99</x:v>
      </x:c>
      <x:c r="L7" s="53" t="str">
        <x:v>OK</x:v>
      </x:c>
      <x:c r="M7" s="53" t="str">
        <x:v>NIE</x:v>
      </x:c>
      <x:c r="N7" s="53" t="str">
        <x:v>Worksheet!AM3</x:v>
      </x:c>
    </x:row>
    <x:row r="8">
      <x:c r="A8" s="45" t="str">
        <x:v>25276</x:v>
      </x:c>
      <x:c r="B8" s="45" t="str">
        <x:v>002091/KOB</x:v>
      </x:c>
      <x:c r="C8" s="39" t="str">
        <x:v>Oprawa Downlight GU10 tuba ruchoma czarna Kobi OH36 KPOH36CZ</x:v>
      </x:c>
      <x:c r="D8" s="39" t="str">
        <x:v>Oprawy natynkowe</x:v>
      </x:c>
      <x:c r="E8" s="39" t="str">
        <x:v>Stopień ochrony [IP]</x:v>
      </x:c>
      <x:c r="F8" s="39" t="str">
        <x:v>Atrybut obowiązkowy</x:v>
      </x:c>
      <x:c r="G8" s="39" t="str">
        <x:v>(puste)</x:v>
      </x:c>
      <x:c r="H8" s="39" t="str">
        <x:v>IP 20</x:v>
      </x:c>
      <x:c r="I8" s="39" t="str">
        <x:v>aktualny XML Kobi</x:v>
      </x:c>
      <x:c r="J8" s="39" t="str">
        <x:v>IP</x:v>
      </x:c>
      <x:c r="K8" s="52" t="n">
        <x:v>0.97</x:v>
      </x:c>
      <x:c r="L8" s="53" t="str">
        <x:v>OK</x:v>
      </x:c>
      <x:c r="M8" s="53" t="str">
        <x:v>NIE</x:v>
      </x:c>
      <x:c r="N8" s="53" t="str">
        <x:v>Worksheet!Q3</x:v>
      </x:c>
    </x:row>
    <x:row r="9">
      <x:c r="A9" s="45" t="str">
        <x:v>25278</x:v>
      </x:c>
      <x:c r="B9" s="45" t="str">
        <x:v>002099/KOB</x:v>
      </x:c>
      <x:c r="C9" s="39" t="str">
        <x:v>Oprawa DWONLIGHT GU10 sześcian ruchomy chrom aluminium KOBI OH37 KPOH37CH</x:v>
      </x:c>
      <x:c r="D9" s="39" t="str">
        <x:v>Oprawy natynkowe</x:v>
      </x:c>
      <x:c r="E9" s="39" t="str">
        <x:v>Liczba źródeł światła</x:v>
      </x:c>
      <x:c r="F9" s="39" t="str">
        <x:v>Atrybut obowiązkowy</x:v>
      </x:c>
      <x:c r="G9" s="39" t="str">
        <x:v>(puste)</x:v>
      </x:c>
      <x:c r="H9" s="39" t="str">
        <x:v>1</x:v>
      </x:c>
      <x:c r="I9" s="39" t="str">
        <x:v>nazwa produktu w eksporcie WooCommerce</x:v>
      </x:c>
      <x:c r="J9" s="39" t="str">
        <x:v>liczba źródeł w nazwie / konstrukcja oprawy</x:v>
      </x:c>
      <x:c r="K9" s="52" t="n">
        <x:v>0.94</x:v>
      </x:c>
      <x:c r="L9" s="53" t="str">
        <x:v>WARNING</x:v>
      </x:c>
      <x:c r="M9" s="53" t="str">
        <x:v>NIE</x:v>
      </x:c>
      <x:c r="N9" s="53" t="str">
        <x:v>Worksheet!AK4</x:v>
      </x:c>
    </x:row>
    <x:row r="10">
      <x:c r="A10" s="45" t="str">
        <x:v>25278</x:v>
      </x:c>
      <x:c r="B10" s="45" t="str">
        <x:v>002099/KOB</x:v>
      </x:c>
      <x:c r="C10" s="39" t="str">
        <x:v>Oprawa DWONLIGHT GU10 sześcian ruchomy chrom aluminium KOBI OH37 KPOH37CH</x:v>
      </x:c>
      <x:c r="D10" s="39" t="str">
        <x:v>Oprawy natynkowe</x:v>
      </x:c>
      <x:c r="E10" s="39" t="str">
        <x:v>Napięcie [V]</x:v>
      </x:c>
      <x:c r="F10" s="39" t="str">
        <x:v>Atrybut dodatkowy potwierdzony</x:v>
      </x:c>
      <x:c r="G10" s="39" t="str">
        <x:v>(puste)</x:v>
      </x:c>
      <x:c r="H10" s="39" t="str">
        <x:v>230</x:v>
      </x:c>
      <x:c r="I10" s="39" t="str">
        <x:v>aktualny XML Kobi</x:v>
      </x:c>
      <x:c r="J10" s="39" t="str">
        <x:v>Napięcie zasilania</x:v>
      </x:c>
      <x:c r="K10" s="52" t="n">
        <x:v>0.97</x:v>
      </x:c>
      <x:c r="L10" s="53" t="str">
        <x:v>OK</x:v>
      </x:c>
      <x:c r="M10" s="53" t="str">
        <x:v>NIE</x:v>
      </x:c>
      <x:c r="N10" s="53" t="str">
        <x:v>Worksheet!AG4</x:v>
      </x:c>
    </x:row>
    <x:row r="11">
      <x:c r="A11" s="45" t="str">
        <x:v>25278</x:v>
      </x:c>
      <x:c r="B11" s="45" t="str">
        <x:v>002099/KOB</x:v>
      </x:c>
      <x:c r="C11" s="39" t="str">
        <x:v>Oprawa DWONLIGHT GU10 sześcian ruchomy chrom aluminium KOBI OH37 KPOH37CH</x:v>
      </x:c>
      <x:c r="D11" s="39" t="str">
        <x:v>Oprawy natynkowe</x:v>
      </x:c>
      <x:c r="E11" s="39" t="str">
        <x:v>Sposób montażu</x:v>
      </x:c>
      <x:c r="F11" s="39" t="str">
        <x:v>Atrybut obowiązkowy</x:v>
      </x:c>
      <x:c r="G11" s="39" t="str">
        <x:v>(puste)</x:v>
      </x:c>
      <x:c r="H11" s="39" t="str">
        <x:v>Natynkowy</x:v>
      </x:c>
      <x:c r="I11" s="39" t="str">
        <x:v>Atrybut Produktu: Rodzaj</x:v>
      </x:c>
      <x:c r="J11" s="39" t="str">
        <x:v>kategoria produktu</x:v>
      </x:c>
      <x:c r="K11" s="52" t="n">
        <x:v>0.99</x:v>
      </x:c>
      <x:c r="L11" s="53" t="str">
        <x:v>OK</x:v>
      </x:c>
      <x:c r="M11" s="53" t="str">
        <x:v>NIE</x:v>
      </x:c>
      <x:c r="N11" s="53" t="str">
        <x:v>Worksheet!AM4</x:v>
      </x:c>
    </x:row>
    <x:row r="12">
      <x:c r="A12" s="45" t="str">
        <x:v>25278</x:v>
      </x:c>
      <x:c r="B12" s="45" t="str">
        <x:v>002099/KOB</x:v>
      </x:c>
      <x:c r="C12" s="39" t="str">
        <x:v>Oprawa DWONLIGHT GU10 sześcian ruchomy chrom aluminium KOBI OH37 KPOH37CH</x:v>
      </x:c>
      <x:c r="D12" s="39" t="str">
        <x:v>Oprawy natynkowe</x:v>
      </x:c>
      <x:c r="E12" s="39" t="str">
        <x:v>Stopień ochrony [IP]</x:v>
      </x:c>
      <x:c r="F12" s="39" t="str">
        <x:v>Atrybut obowiązkowy</x:v>
      </x:c>
      <x:c r="G12" s="39" t="str">
        <x:v>(puste)</x:v>
      </x:c>
      <x:c r="H12" s="39" t="str">
        <x:v>IP 20</x:v>
      </x:c>
      <x:c r="I12" s="39" t="str">
        <x:v>aktualny XML Kobi</x:v>
      </x:c>
      <x:c r="J12" s="39" t="str">
        <x:v>IP</x:v>
      </x:c>
      <x:c r="K12" s="52" t="n">
        <x:v>0.97</x:v>
      </x:c>
      <x:c r="L12" s="53" t="str">
        <x:v>OK</x:v>
      </x:c>
      <x:c r="M12" s="53" t="str">
        <x:v>NIE</x:v>
      </x:c>
      <x:c r="N12" s="53" t="str">
        <x:v>Worksheet!Q4</x:v>
      </x:c>
    </x:row>
    <x:row r="13">
      <x:c r="A13" s="45" t="str">
        <x:v>32072</x:v>
      </x:c>
      <x:c r="B13" s="45" t="str">
        <x:v>001605/KOB</x:v>
      </x:c>
      <x:c r="C13" s="39" t="str">
        <x:v>Oprawa hermetyczna IP65 bez statecznika (do świetlówek LED) 2x120CM KOBI HERMETIC KFHCE2120</x:v>
      </x:c>
      <x:c r="D13" s="39" t="str">
        <x:v>Oprawy hermetyczne</x:v>
      </x:c>
      <x:c r="E13" s="39" t="str">
        <x:v>Kolor</x:v>
      </x:c>
      <x:c r="F13" s="39" t="str">
        <x:v>Atrybut dodatkowy potwierdzony</x:v>
      </x:c>
      <x:c r="G13" s="39" t="str">
        <x:v>(puste)</x:v>
      </x:c>
      <x:c r="H13" s="39" t="str">
        <x:v>Szary</x:v>
      </x:c>
      <x:c r="I13" s="39" t="str">
        <x:v>aktualny XML Kobi</x:v>
      </x:c>
      <x:c r="J13" s="39" t="str">
        <x:v>Kolor produktu</x:v>
      </x:c>
      <x:c r="K13" s="52" t="n">
        <x:v>0.97</x:v>
      </x:c>
      <x:c r="L13" s="53" t="str">
        <x:v>OK</x:v>
      </x:c>
      <x:c r="M13" s="53" t="str">
        <x:v>NIE</x:v>
      </x:c>
      <x:c r="N13" s="53" t="str">
        <x:v>Worksheet!T5</x:v>
      </x:c>
    </x:row>
    <x:row r="14">
      <x:c r="A14" s="45" t="str">
        <x:v>32072</x:v>
      </x:c>
      <x:c r="B14" s="45" t="str">
        <x:v>001605/KOB</x:v>
      </x:c>
      <x:c r="C14" s="39" t="str">
        <x:v>Oprawa hermetyczna IP65 bez statecznika (do świetlówek LED) 2x120CM KOBI HERMETIC KFHCE2120</x:v>
      </x:c>
      <x:c r="D14" s="39" t="str">
        <x:v>Oprawy hermetyczne</x:v>
      </x:c>
      <x:c r="E14" s="39" t="str">
        <x:v>Napięcie [V]</x:v>
      </x:c>
      <x:c r="F14" s="39" t="str">
        <x:v>Atrybut dodatkowy potwierdzony</x:v>
      </x:c>
      <x:c r="G14" s="39" t="str">
        <x:v>(puste)</x:v>
      </x:c>
      <x:c r="H14" s="39" t="str">
        <x:v>230</x:v>
      </x:c>
      <x:c r="I14" s="39" t="str">
        <x:v>aktualny XML Kobi</x:v>
      </x:c>
      <x:c r="J14" s="39" t="str">
        <x:v>Napięcie zasilania</x:v>
      </x:c>
      <x:c r="K14" s="52" t="n">
        <x:v>0.97</x:v>
      </x:c>
      <x:c r="L14" s="53" t="str">
        <x:v>OK</x:v>
      </x:c>
      <x:c r="M14" s="53" t="str">
        <x:v>NIE</x:v>
      </x:c>
      <x:c r="N14" s="53" t="str">
        <x:v>Worksheet!AG5</x:v>
      </x:c>
    </x:row>
    <x:row r="15">
      <x:c r="A15" s="45" t="str">
        <x:v>32072</x:v>
      </x:c>
      <x:c r="B15" s="45" t="str">
        <x:v>001605/KOB</x:v>
      </x:c>
      <x:c r="C15" s="39" t="str">
        <x:v>Oprawa hermetyczna IP65 bez statecznika (do świetlówek LED) 2x120CM KOBI HERMETIC KFHCE2120</x:v>
      </x:c>
      <x:c r="D15" s="39" t="str">
        <x:v>Oprawy hermetyczne</x:v>
      </x:c>
      <x:c r="E15" s="39" t="str">
        <x:v>Stopień ochrony [IP]</x:v>
      </x:c>
      <x:c r="F15" s="39" t="str">
        <x:v>Atrybut obowiązkowy</x:v>
      </x:c>
      <x:c r="G15" s="39" t="str">
        <x:v>(puste)</x:v>
      </x:c>
      <x:c r="H15" s="39" t="str">
        <x:v>IP 65</x:v>
      </x:c>
      <x:c r="I15" s="39" t="str">
        <x:v>aktualny XML Kobi</x:v>
      </x:c>
      <x:c r="J15" s="39" t="str">
        <x:v>IP</x:v>
      </x:c>
      <x:c r="K15" s="52" t="n">
        <x:v>0.97</x:v>
      </x:c>
      <x:c r="L15" s="53" t="str">
        <x:v>OK</x:v>
      </x:c>
      <x:c r="M15" s="53" t="str">
        <x:v>NIE</x:v>
      </x:c>
      <x:c r="N15" s="53" t="str">
        <x:v>Worksheet!Q5</x:v>
      </x:c>
    </x:row>
    <x:row r="16">
      <x:c r="A16" s="45" t="str">
        <x:v>32072</x:v>
      </x:c>
      <x:c r="B16" s="45" t="str">
        <x:v>001605/KOB</x:v>
      </x:c>
      <x:c r="C16" s="39" t="str">
        <x:v>Oprawa hermetyczna IP65 bez statecznika (do świetlówek LED) 2x120CM KOBI HERMETIC KFHCE2120</x:v>
      </x:c>
      <x:c r="D16" s="39" t="str">
        <x:v>Oprawy hermetyczne</x:v>
      </x:c>
      <x:c r="E16" s="39" t="str">
        <x:v>Trzonek</x:v>
      </x:c>
      <x:c r="F16" s="39" t="str">
        <x:v>Atrybut dodatkowy potwierdzony</x:v>
      </x:c>
      <x:c r="G16" s="39" t="str">
        <x:v>(puste)</x:v>
      </x:c>
      <x:c r="H16" s="39" t="str">
        <x:v>G13</x:v>
      </x:c>
      <x:c r="I16" s="39" t="str">
        <x:v>aktualny XML Kobi</x:v>
      </x:c>
      <x:c r="J16" s="39" t="str">
        <x:v>Trzonek</x:v>
      </x:c>
      <x:c r="K16" s="52" t="n">
        <x:v>0.97</x:v>
      </x:c>
      <x:c r="L16" s="53" t="str">
        <x:v>OK</x:v>
      </x:c>
      <x:c r="M16" s="53" t="str">
        <x:v>NIE</x:v>
      </x:c>
      <x:c r="N16" s="53" t="str">
        <x:v>Worksheet!AJ5</x:v>
      </x:c>
    </x:row>
    <x:row r="17">
      <x:c r="A17" s="45" t="str">
        <x:v>32072</x:v>
      </x:c>
      <x:c r="B17" s="45" t="str">
        <x:v>001605/KOB</x:v>
      </x:c>
      <x:c r="C17" s="39" t="str">
        <x:v>Oprawa hermetyczna IP65 bez statecznika (do świetlówek LED) 2x120CM KOBI HERMETIC KFHCE2120</x:v>
      </x:c>
      <x:c r="D17" s="39" t="str">
        <x:v>Oprawy hermetyczne</x:v>
      </x:c>
      <x:c r="E17" s="39" t="str">
        <x:v>Typ produktu</x:v>
      </x:c>
      <x:c r="F17" s="39" t="str">
        <x:v>Atrybut obowiązkowy</x:v>
      </x:c>
      <x:c r="G17" s="39" t="str">
        <x:v>(puste)</x:v>
      </x:c>
      <x:c r="H17" s="39" t="str">
        <x:v>Oprawa hermetyczna</x:v>
      </x:c>
      <x:c r="I17" s="39" t="str">
        <x:v>aktualny XML Kobi</x:v>
      </x:c>
      <x:c r="J17" s="39" t="str">
        <x:v>typ wywnioskowany z nazwy producenta</x:v>
      </x:c>
      <x:c r="K17" s="52" t="n">
        <x:v>0.88</x:v>
      </x:c>
      <x:c r="L17" s="53" t="str">
        <x:v>WARNING</x:v>
      </x:c>
      <x:c r="M17" s="53" t="str">
        <x:v>NIE</x:v>
      </x:c>
      <x:c r="N17" s="53" t="str">
        <x:v>Worksheet!Y5</x:v>
      </x:c>
    </x:row>
    <x:row r="18">
      <x:c r="A18" s="45" t="str">
        <x:v>32072</x:v>
      </x:c>
      <x:c r="B18" s="45" t="str">
        <x:v>001605/KOB</x:v>
      </x:c>
      <x:c r="C18" s="39" t="str">
        <x:v>Oprawa hermetyczna IP65 bez statecznika (do świetlówek LED) 2x120CM KOBI HERMETIC KFHCE2120</x:v>
      </x:c>
      <x:c r="D18" s="39" t="str">
        <x:v>Oprawy hermetyczne</x:v>
      </x:c>
      <x:c r="E18" s="39" t="str">
        <x:v>Źródło światła</x:v>
      </x:c>
      <x:c r="F18" s="39" t="str">
        <x:v>Atrybut obowiązkowy</x:v>
      </x:c>
      <x:c r="G18" s="39" t="str">
        <x:v>(puste)</x:v>
      </x:c>
      <x:c r="H18" s="39" t="str">
        <x:v>Wymienne</x:v>
      </x:c>
      <x:c r="I18" s="39" t="str">
        <x:v>Kobi XML + nazwa produktu</x:v>
      </x:c>
      <x:c r="J18" s="39" t="str">
        <x:v>trzonek / brak zintegrowanego źródła</x:v>
      </x:c>
      <x:c r="K18" s="52" t="n">
        <x:v>0.96</x:v>
      </x:c>
      <x:c r="L18" s="53" t="str">
        <x:v>OK</x:v>
      </x:c>
      <x:c r="M18" s="53" t="str">
        <x:v>NIE</x:v>
      </x:c>
      <x:c r="N18" s="53" t="str">
        <x:v>Worksheet!AL5</x:v>
      </x:c>
    </x:row>
    <x:row r="19">
      <x:c r="A19" s="45" t="str">
        <x:v>32076</x:v>
      </x:c>
      <x:c r="B19" s="45" t="str">
        <x:v>001607/KOB</x:v>
      </x:c>
      <x:c r="C19" s="39" t="str">
        <x:v>Oprawa hermetyczna IP65 bez statecznika (do świetlówek LED) 2x60CM KOBI HERMETIC KFHCE260</x:v>
      </x:c>
      <x:c r="D19" s="39" t="str">
        <x:v>Oprawy hermetyczne</x:v>
      </x:c>
      <x:c r="E19" s="39" t="str">
        <x:v>Kolor</x:v>
      </x:c>
      <x:c r="F19" s="39" t="str">
        <x:v>Atrybut dodatkowy potwierdzony</x:v>
      </x:c>
      <x:c r="G19" s="39" t="str">
        <x:v>(puste)</x:v>
      </x:c>
      <x:c r="H19" s="39" t="str">
        <x:v>Szary</x:v>
      </x:c>
      <x:c r="I19" s="39" t="str">
        <x:v>aktualny XML Kobi</x:v>
      </x:c>
      <x:c r="J19" s="39" t="str">
        <x:v>Kolor produktu</x:v>
      </x:c>
      <x:c r="K19" s="52" t="n">
        <x:v>0.97</x:v>
      </x:c>
      <x:c r="L19" s="53" t="str">
        <x:v>OK</x:v>
      </x:c>
      <x:c r="M19" s="53" t="str">
        <x:v>NIE</x:v>
      </x:c>
      <x:c r="N19" s="53" t="str">
        <x:v>Worksheet!T6</x:v>
      </x:c>
    </x:row>
    <x:row r="20">
      <x:c r="A20" s="45" t="str">
        <x:v>32076</x:v>
      </x:c>
      <x:c r="B20" s="45" t="str">
        <x:v>001607/KOB</x:v>
      </x:c>
      <x:c r="C20" s="39" t="str">
        <x:v>Oprawa hermetyczna IP65 bez statecznika (do świetlówek LED) 2x60CM KOBI HERMETIC KFHCE260</x:v>
      </x:c>
      <x:c r="D20" s="39" t="str">
        <x:v>Oprawy hermetyczne</x:v>
      </x:c>
      <x:c r="E20" s="39" t="str">
        <x:v>Napięcie [V]</x:v>
      </x:c>
      <x:c r="F20" s="39" t="str">
        <x:v>Atrybut dodatkowy potwierdzony</x:v>
      </x:c>
      <x:c r="G20" s="39" t="str">
        <x:v>(puste)</x:v>
      </x:c>
      <x:c r="H20" s="39" t="str">
        <x:v>230</x:v>
      </x:c>
      <x:c r="I20" s="39" t="str">
        <x:v>aktualny XML Kobi</x:v>
      </x:c>
      <x:c r="J20" s="39" t="str">
        <x:v>Napięcie zasilania</x:v>
      </x:c>
      <x:c r="K20" s="52" t="n">
        <x:v>0.97</x:v>
      </x:c>
      <x:c r="L20" s="53" t="str">
        <x:v>OK</x:v>
      </x:c>
      <x:c r="M20" s="53" t="str">
        <x:v>NIE</x:v>
      </x:c>
      <x:c r="N20" s="53" t="str">
        <x:v>Worksheet!AG6</x:v>
      </x:c>
    </x:row>
    <x:row r="21">
      <x:c r="A21" s="45" t="str">
        <x:v>32076</x:v>
      </x:c>
      <x:c r="B21" s="45" t="str">
        <x:v>001607/KOB</x:v>
      </x:c>
      <x:c r="C21" s="39" t="str">
        <x:v>Oprawa hermetyczna IP65 bez statecznika (do świetlówek LED) 2x60CM KOBI HERMETIC KFHCE260</x:v>
      </x:c>
      <x:c r="D21" s="39" t="str">
        <x:v>Oprawy hermetyczne</x:v>
      </x:c>
      <x:c r="E21" s="39" t="str">
        <x:v>Stopień ochrony [IP]</x:v>
      </x:c>
      <x:c r="F21" s="39" t="str">
        <x:v>Atrybut obowiązkowy</x:v>
      </x:c>
      <x:c r="G21" s="39" t="str">
        <x:v>(puste)</x:v>
      </x:c>
      <x:c r="H21" s="39" t="str">
        <x:v>IP 65</x:v>
      </x:c>
      <x:c r="I21" s="39" t="str">
        <x:v>aktualny XML Kobi</x:v>
      </x:c>
      <x:c r="J21" s="39" t="str">
        <x:v>IP</x:v>
      </x:c>
      <x:c r="K21" s="52" t="n">
        <x:v>0.97</x:v>
      </x:c>
      <x:c r="L21" s="53" t="str">
        <x:v>OK</x:v>
      </x:c>
      <x:c r="M21" s="53" t="str">
        <x:v>NIE</x:v>
      </x:c>
      <x:c r="N21" s="53" t="str">
        <x:v>Worksheet!Q6</x:v>
      </x:c>
    </x:row>
    <x:row r="22">
      <x:c r="A22" s="45" t="str">
        <x:v>32076</x:v>
      </x:c>
      <x:c r="B22" s="45" t="str">
        <x:v>001607/KOB</x:v>
      </x:c>
      <x:c r="C22" s="39" t="str">
        <x:v>Oprawa hermetyczna IP65 bez statecznika (do świetlówek LED) 2x60CM KOBI HERMETIC KFHCE260</x:v>
      </x:c>
      <x:c r="D22" s="39" t="str">
        <x:v>Oprawy hermetyczne</x:v>
      </x:c>
      <x:c r="E22" s="39" t="str">
        <x:v>Trzonek</x:v>
      </x:c>
      <x:c r="F22" s="39" t="str">
        <x:v>Atrybut dodatkowy potwierdzony</x:v>
      </x:c>
      <x:c r="G22" s="39" t="str">
        <x:v>(puste)</x:v>
      </x:c>
      <x:c r="H22" s="39" t="str">
        <x:v>G13</x:v>
      </x:c>
      <x:c r="I22" s="39" t="str">
        <x:v>aktualny XML Kobi</x:v>
      </x:c>
      <x:c r="J22" s="39" t="str">
        <x:v>Trzonek</x:v>
      </x:c>
      <x:c r="K22" s="52" t="n">
        <x:v>0.97</x:v>
      </x:c>
      <x:c r="L22" s="53" t="str">
        <x:v>OK</x:v>
      </x:c>
      <x:c r="M22" s="53" t="str">
        <x:v>NIE</x:v>
      </x:c>
      <x:c r="N22" s="53" t="str">
        <x:v>Worksheet!AJ6</x:v>
      </x:c>
    </x:row>
    <x:row r="23">
      <x:c r="A23" s="45" t="str">
        <x:v>32076</x:v>
      </x:c>
      <x:c r="B23" s="45" t="str">
        <x:v>001607/KOB</x:v>
      </x:c>
      <x:c r="C23" s="39" t="str">
        <x:v>Oprawa hermetyczna IP65 bez statecznika (do świetlówek LED) 2x60CM KOBI HERMETIC KFHCE260</x:v>
      </x:c>
      <x:c r="D23" s="39" t="str">
        <x:v>Oprawy hermetyczne</x:v>
      </x:c>
      <x:c r="E23" s="39" t="str">
        <x:v>Typ produktu</x:v>
      </x:c>
      <x:c r="F23" s="39" t="str">
        <x:v>Atrybut obowiązkowy</x:v>
      </x:c>
      <x:c r="G23" s="39" t="str">
        <x:v>(puste)</x:v>
      </x:c>
      <x:c r="H23" s="39" t="str">
        <x:v>Oprawa hermetyczna</x:v>
      </x:c>
      <x:c r="I23" s="39" t="str">
        <x:v>aktualny XML Kobi</x:v>
      </x:c>
      <x:c r="J23" s="39" t="str">
        <x:v>typ wywnioskowany z nazwy producenta</x:v>
      </x:c>
      <x:c r="K23" s="52" t="n">
        <x:v>0.88</x:v>
      </x:c>
      <x:c r="L23" s="53" t="str">
        <x:v>WARNING</x:v>
      </x:c>
      <x:c r="M23" s="53" t="str">
        <x:v>NIE</x:v>
      </x:c>
      <x:c r="N23" s="53" t="str">
        <x:v>Worksheet!Y6</x:v>
      </x:c>
    </x:row>
    <x:row r="24">
      <x:c r="A24" s="45" t="str">
        <x:v>32076</x:v>
      </x:c>
      <x:c r="B24" s="45" t="str">
        <x:v>001607/KOB</x:v>
      </x:c>
      <x:c r="C24" s="39" t="str">
        <x:v>Oprawa hermetyczna IP65 bez statecznika (do świetlówek LED) 2x60CM KOBI HERMETIC KFHCE260</x:v>
      </x:c>
      <x:c r="D24" s="39" t="str">
        <x:v>Oprawy hermetyczne</x:v>
      </x:c>
      <x:c r="E24" s="39" t="str">
        <x:v>Źródło światła</x:v>
      </x:c>
      <x:c r="F24" s="39" t="str">
        <x:v>Atrybut obowiązkowy</x:v>
      </x:c>
      <x:c r="G24" s="39" t="str">
        <x:v>(puste)</x:v>
      </x:c>
      <x:c r="H24" s="39" t="str">
        <x:v>Wymienne</x:v>
      </x:c>
      <x:c r="I24" s="39" t="str">
        <x:v>Kobi XML + nazwa produktu</x:v>
      </x:c>
      <x:c r="J24" s="39" t="str">
        <x:v>trzonek / brak zintegrowanego źródła</x:v>
      </x:c>
      <x:c r="K24" s="52" t="n">
        <x:v>0.96</x:v>
      </x:c>
      <x:c r="L24" s="53" t="str">
        <x:v>OK</x:v>
      </x:c>
      <x:c r="M24" s="53" t="str">
        <x:v>NIE</x:v>
      </x:c>
      <x:c r="N24" s="53" t="str">
        <x:v>Worksheet!AL6</x:v>
      </x:c>
    </x:row>
    <x:row r="25">
      <x:c r="A25" s="45" t="str">
        <x:v>33537</x:v>
      </x:c>
      <x:c r="B25" s="45" t="str">
        <x:v>KQLI10W/KOB</x:v>
      </x:c>
      <x:c r="C25" s="39" t="str">
        <x:v>Oprawa N/T ruchoma 3000K biała LAHTI 10W KQLI10W</x:v>
      </x:c>
      <x:c r="D25" s="39" t="str">
        <x:v>Oprawy natynkowe</x:v>
      </x:c>
      <x:c r="E25" s="39" t="str">
        <x:v>Kolor</x:v>
      </x:c>
      <x:c r="F25" s="39" t="str">
        <x:v>Atrybut obowiązkowy</x:v>
      </x:c>
      <x:c r="G25" s="39" t="str">
        <x:v>(puste)</x:v>
      </x:c>
      <x:c r="H25" s="39" t="str">
        <x:v>Biały</x:v>
      </x:c>
      <x:c r="I25" s="39" t="str">
        <x:v>nazwa produktu w eksporcie WooCommerce</x:v>
      </x:c>
      <x:c r="J25" s="39" t="str">
        <x:v>kolor w nazwie</x:v>
      </x:c>
      <x:c r="K25" s="52" t="n">
        <x:v>0.94</x:v>
      </x:c>
      <x:c r="L25" s="53" t="str">
        <x:v>WARNING</x:v>
      </x:c>
      <x:c r="M25" s="53" t="str">
        <x:v>NIE</x:v>
      </x:c>
      <x:c r="N25" s="53" t="str">
        <x:v>Worksheet!T7</x:v>
      </x:c>
    </x:row>
    <x:row r="26">
      <x:c r="A26" s="45" t="str">
        <x:v>33537</x:v>
      </x:c>
      <x:c r="B26" s="45" t="str">
        <x:v>KQLI10W/KOB</x:v>
      </x:c>
      <x:c r="C26" s="39" t="str">
        <x:v>Oprawa N/T ruchoma 3000K biała LAHTI 10W KQLI10W</x:v>
      </x:c>
      <x:c r="D26" s="39" t="str">
        <x:v>Oprawy natynkowe</x:v>
      </x:c>
      <x:c r="E26" s="39" t="str">
        <x:v>Sposób montażu</x:v>
      </x:c>
      <x:c r="F26" s="39" t="str">
        <x:v>Atrybut obowiązkowy</x:v>
      </x:c>
      <x:c r="G26" s="39" t="str">
        <x:v>(puste)</x:v>
      </x:c>
      <x:c r="H26" s="39" t="str">
        <x:v>Natynkowy</x:v>
      </x:c>
      <x:c r="I26" s="39" t="str">
        <x:v>Atrybut Produktu: Rodzaj</x:v>
      </x:c>
      <x:c r="J26" s="39" t="str">
        <x:v>kategoria produktu</x:v>
      </x:c>
      <x:c r="K26" s="52" t="n">
        <x:v>0.99</x:v>
      </x:c>
      <x:c r="L26" s="53" t="str">
        <x:v>OK</x:v>
      </x:c>
      <x:c r="M26" s="53" t="str">
        <x:v>NIE</x:v>
      </x:c>
      <x:c r="N26" s="53" t="str">
        <x:v>Worksheet!AM7</x:v>
      </x:c>
    </x:row>
    <x:row r="27">
      <x:c r="A27" s="45" t="str">
        <x:v>33541</x:v>
      </x:c>
      <x:c r="B27" s="45" t="str">
        <x:v>002184/KOB</x:v>
      </x:c>
      <x:c r="C27" s="39" t="str">
        <x:v>Oprawa natynkowa gipsowa LINDO CHROME 1XGU10 Biała KRLC</x:v>
      </x:c>
      <x:c r="D27" s="39" t="str">
        <x:v>Oprawy natynkowe</x:v>
      </x:c>
      <x:c r="E27" s="39" t="str">
        <x:v>Kolor</x:v>
      </x:c>
      <x:c r="F27" s="39" t="str">
        <x:v>Atrybut obowiązkowy</x:v>
      </x:c>
      <x:c r="G27" s="39" t="str">
        <x:v>(puste)</x:v>
      </x:c>
      <x:c r="H27" s="39" t="str">
        <x:v>Biały</x:v>
      </x:c>
      <x:c r="I27" s="39" t="str">
        <x:v>nazwa produktu w eksporcie WooCommerce</x:v>
      </x:c>
      <x:c r="J27" s="39" t="str">
        <x:v>kolor w nazwie</x:v>
      </x:c>
      <x:c r="K27" s="52" t="n">
        <x:v>0.94</x:v>
      </x:c>
      <x:c r="L27" s="53" t="str">
        <x:v>WARNING</x:v>
      </x:c>
      <x:c r="M27" s="53" t="str">
        <x:v>NIE</x:v>
      </x:c>
      <x:c r="N27" s="53" t="str">
        <x:v>Worksheet!T8</x:v>
      </x:c>
    </x:row>
    <x:row r="28">
      <x:c r="A28" s="45" t="str">
        <x:v>33541</x:v>
      </x:c>
      <x:c r="B28" s="45" t="str">
        <x:v>002184/KOB</x:v>
      </x:c>
      <x:c r="C28" s="39" t="str">
        <x:v>Oprawa natynkowa gipsowa LINDO CHROME 1XGU10 Biała KRLC</x:v>
      </x:c>
      <x:c r="D28" s="39" t="str">
        <x:v>Oprawy natynkowe</x:v>
      </x:c>
      <x:c r="E28" s="39" t="str">
        <x:v>Liczba źródeł światła</x:v>
      </x:c>
      <x:c r="F28" s="39" t="str">
        <x:v>Atrybut obowiązkowy</x:v>
      </x:c>
      <x:c r="G28" s="39" t="str">
        <x:v>(puste)</x:v>
      </x:c>
      <x:c r="H28" s="39" t="str">
        <x:v>1</x:v>
      </x:c>
      <x:c r="I28" s="39" t="str">
        <x:v>nazwa produktu w eksporcie WooCommerce</x:v>
      </x:c>
      <x:c r="J28" s="39" t="str">
        <x:v>liczba źródeł w nazwie / konstrukcja oprawy</x:v>
      </x:c>
      <x:c r="K28" s="52" t="n">
        <x:v>0.94</x:v>
      </x:c>
      <x:c r="L28" s="53" t="str">
        <x:v>WARNING</x:v>
      </x:c>
      <x:c r="M28" s="53" t="str">
        <x:v>NIE</x:v>
      </x:c>
      <x:c r="N28" s="53" t="str">
        <x:v>Worksheet!AK8</x:v>
      </x:c>
    </x:row>
    <x:row r="29">
      <x:c r="A29" s="45" t="str">
        <x:v>33541</x:v>
      </x:c>
      <x:c r="B29" s="45" t="str">
        <x:v>002184/KOB</x:v>
      </x:c>
      <x:c r="C29" s="39" t="str">
        <x:v>Oprawa natynkowa gipsowa LINDO CHROME 1XGU10 Biała KRLC</x:v>
      </x:c>
      <x:c r="D29" s="39" t="str">
        <x:v>Oprawy natynkowe</x:v>
      </x:c>
      <x:c r="E29" s="39" t="str">
        <x:v>Sposób montażu</x:v>
      </x:c>
      <x:c r="F29" s="39" t="str">
        <x:v>Atrybut obowiązkowy</x:v>
      </x:c>
      <x:c r="G29" s="39" t="str">
        <x:v>(puste)</x:v>
      </x:c>
      <x:c r="H29" s="39" t="str">
        <x:v>Natynkowy</x:v>
      </x:c>
      <x:c r="I29" s="39" t="str">
        <x:v>Atrybut Produktu: Rodzaj</x:v>
      </x:c>
      <x:c r="J29" s="39" t="str">
        <x:v>kategoria produktu</x:v>
      </x:c>
      <x:c r="K29" s="52" t="n">
        <x:v>0.99</x:v>
      </x:c>
      <x:c r="L29" s="53" t="str">
        <x:v>OK</x:v>
      </x:c>
      <x:c r="M29" s="53" t="str">
        <x:v>NIE</x:v>
      </x:c>
      <x:c r="N29" s="53" t="str">
        <x:v>Worksheet!AM8</x:v>
      </x:c>
    </x:row>
    <x:row r="30">
      <x:c r="A30" s="45" t="str">
        <x:v>33545</x:v>
      </x:c>
      <x:c r="B30" s="45" t="str">
        <x:v>002196/KOB</x:v>
      </x:c>
      <x:c r="C30" s="39" t="str">
        <x:v>Oprawa N/T beton 2XGU10 chrom PURO MASSO KRPMC</x:v>
      </x:c>
      <x:c r="D30" s="39" t="str">
        <x:v>Oprawy natynkowe</x:v>
      </x:c>
      <x:c r="E30" s="39" t="str">
        <x:v>Kolor</x:v>
      </x:c>
      <x:c r="F30" s="39" t="str">
        <x:v>Atrybut obowiązkowy</x:v>
      </x:c>
      <x:c r="G30" s="39" t="str">
        <x:v>(puste)</x:v>
      </x:c>
      <x:c r="H30" s="39" t="str">
        <x:v>Chrom</x:v>
      </x:c>
      <x:c r="I30" s="39" t="str">
        <x:v>nazwa produktu w eksporcie WooCommerce</x:v>
      </x:c>
      <x:c r="J30" s="39" t="str">
        <x:v>kolor w nazwie</x:v>
      </x:c>
      <x:c r="K30" s="52" t="n">
        <x:v>0.94</x:v>
      </x:c>
      <x:c r="L30" s="53" t="str">
        <x:v>WARNING</x:v>
      </x:c>
      <x:c r="M30" s="53" t="str">
        <x:v>NIE</x:v>
      </x:c>
      <x:c r="N30" s="53" t="str">
        <x:v>Worksheet!T9</x:v>
      </x:c>
    </x:row>
    <x:row r="31">
      <x:c r="A31" s="45" t="str">
        <x:v>33545</x:v>
      </x:c>
      <x:c r="B31" s="45" t="str">
        <x:v>002196/KOB</x:v>
      </x:c>
      <x:c r="C31" s="39" t="str">
        <x:v>Oprawa N/T beton 2XGU10 chrom PURO MASSO KRPMC</x:v>
      </x:c>
      <x:c r="D31" s="39" t="str">
        <x:v>Oprawy natynkowe</x:v>
      </x:c>
      <x:c r="E31" s="39" t="str">
        <x:v>Liczba źródeł światła</x:v>
      </x:c>
      <x:c r="F31" s="39" t="str">
        <x:v>Atrybut obowiązkowy</x:v>
      </x:c>
      <x:c r="G31" s="39" t="str">
        <x:v>(puste)</x:v>
      </x:c>
      <x:c r="H31" s="39" t="str">
        <x:v>2</x:v>
      </x:c>
      <x:c r="I31" s="39" t="str">
        <x:v>nazwa produktu w eksporcie WooCommerce</x:v>
      </x:c>
      <x:c r="J31" s="39" t="str">
        <x:v>liczba źródeł w nazwie / konstrukcja oprawy</x:v>
      </x:c>
      <x:c r="K31" s="52" t="n">
        <x:v>0.94</x:v>
      </x:c>
      <x:c r="L31" s="53" t="str">
        <x:v>WARNING</x:v>
      </x:c>
      <x:c r="M31" s="53" t="str">
        <x:v>NIE</x:v>
      </x:c>
      <x:c r="N31" s="53" t="str">
        <x:v>Worksheet!AK9</x:v>
      </x:c>
    </x:row>
    <x:row r="32">
      <x:c r="A32" s="45" t="str">
        <x:v>33545</x:v>
      </x:c>
      <x:c r="B32" s="45" t="str">
        <x:v>002196/KOB</x:v>
      </x:c>
      <x:c r="C32" s="39" t="str">
        <x:v>Oprawa N/T beton 2XGU10 chrom PURO MASSO KRPMC</x:v>
      </x:c>
      <x:c r="D32" s="39" t="str">
        <x:v>Oprawy natynkowe</x:v>
      </x:c>
      <x:c r="E32" s="39" t="str">
        <x:v>Sposób montażu</x:v>
      </x:c>
      <x:c r="F32" s="39" t="str">
        <x:v>Atrybut obowiązkowy</x:v>
      </x:c>
      <x:c r="G32" s="39" t="str">
        <x:v>(puste)</x:v>
      </x:c>
      <x:c r="H32" s="39" t="str">
        <x:v>Natynkowy</x:v>
      </x:c>
      <x:c r="I32" s="39" t="str">
        <x:v>Atrybut Produktu: Rodzaj</x:v>
      </x:c>
      <x:c r="J32" s="39" t="str">
        <x:v>kategoria produktu</x:v>
      </x:c>
      <x:c r="K32" s="52" t="n">
        <x:v>0.99</x:v>
      </x:c>
      <x:c r="L32" s="53" t="str">
        <x:v>OK</x:v>
      </x:c>
      <x:c r="M32" s="53" t="str">
        <x:v>NIE</x:v>
      </x:c>
      <x:c r="N32" s="53" t="str">
        <x:v>Worksheet!AM9</x:v>
      </x:c>
    </x:row>
    <x:row r="33">
      <x:c r="A33" s="45" t="str">
        <x:v>33547</x:v>
      </x:c>
      <x:c r="B33" s="45" t="str">
        <x:v>002198/KOB</x:v>
      </x:c>
      <x:c r="C33" s="39" t="str">
        <x:v>Oprawa N/T Gipsowa 2XGU10 Czarna PURO NERO KRPN</x:v>
      </x:c>
      <x:c r="D33" s="39" t="str">
        <x:v>Oprawy natynkowe</x:v>
      </x:c>
      <x:c r="E33" s="39" t="str">
        <x:v>Kolor</x:v>
      </x:c>
      <x:c r="F33" s="39" t="str">
        <x:v>Atrybut obowiązkowy</x:v>
      </x:c>
      <x:c r="G33" s="39" t="str">
        <x:v>(puste)</x:v>
      </x:c>
      <x:c r="H33" s="39" t="str">
        <x:v>Czarny</x:v>
      </x:c>
      <x:c r="I33" s="39" t="str">
        <x:v>nazwa produktu w eksporcie WooCommerce</x:v>
      </x:c>
      <x:c r="J33" s="39" t="str">
        <x:v>kolor w nazwie</x:v>
      </x:c>
      <x:c r="K33" s="52" t="n">
        <x:v>0.94</x:v>
      </x:c>
      <x:c r="L33" s="53" t="str">
        <x:v>WARNING</x:v>
      </x:c>
      <x:c r="M33" s="53" t="str">
        <x:v>NIE</x:v>
      </x:c>
      <x:c r="N33" s="53" t="str">
        <x:v>Worksheet!T10</x:v>
      </x:c>
    </x:row>
    <x:row r="34">
      <x:c r="A34" s="45" t="str">
        <x:v>33547</x:v>
      </x:c>
      <x:c r="B34" s="45" t="str">
        <x:v>002198/KOB</x:v>
      </x:c>
      <x:c r="C34" s="39" t="str">
        <x:v>Oprawa N/T Gipsowa 2XGU10 Czarna PURO NERO KRPN</x:v>
      </x:c>
      <x:c r="D34" s="39" t="str">
        <x:v>Oprawy natynkowe</x:v>
      </x:c>
      <x:c r="E34" s="39" t="str">
        <x:v>Liczba źródeł światła</x:v>
      </x:c>
      <x:c r="F34" s="39" t="str">
        <x:v>Atrybut obowiązkowy</x:v>
      </x:c>
      <x:c r="G34" s="39" t="str">
        <x:v>(puste)</x:v>
      </x:c>
      <x:c r="H34" s="39" t="str">
        <x:v>2</x:v>
      </x:c>
      <x:c r="I34" s="39" t="str">
        <x:v>nazwa produktu w eksporcie WooCommerce</x:v>
      </x:c>
      <x:c r="J34" s="39" t="str">
        <x:v>liczba źródeł w nazwie / konstrukcja oprawy</x:v>
      </x:c>
      <x:c r="K34" s="52" t="n">
        <x:v>0.94</x:v>
      </x:c>
      <x:c r="L34" s="53" t="str">
        <x:v>WARNING</x:v>
      </x:c>
      <x:c r="M34" s="53" t="str">
        <x:v>NIE</x:v>
      </x:c>
      <x:c r="N34" s="53" t="str">
        <x:v>Worksheet!AK10</x:v>
      </x:c>
    </x:row>
    <x:row r="35">
      <x:c r="A35" s="45" t="str">
        <x:v>33547</x:v>
      </x:c>
      <x:c r="B35" s="45" t="str">
        <x:v>002198/KOB</x:v>
      </x:c>
      <x:c r="C35" s="39" t="str">
        <x:v>Oprawa N/T Gipsowa 2XGU10 Czarna PURO NERO KRPN</x:v>
      </x:c>
      <x:c r="D35" s="39" t="str">
        <x:v>Oprawy natynkowe</x:v>
      </x:c>
      <x:c r="E35" s="39" t="str">
        <x:v>Sposób montażu</x:v>
      </x:c>
      <x:c r="F35" s="39" t="str">
        <x:v>Atrybut obowiązkowy</x:v>
      </x:c>
      <x:c r="G35" s="39" t="str">
        <x:v>(puste)</x:v>
      </x:c>
      <x:c r="H35" s="39" t="str">
        <x:v>Natynkowy</x:v>
      </x:c>
      <x:c r="I35" s="39" t="str">
        <x:v>Atrybut Produktu: Rodzaj</x:v>
      </x:c>
      <x:c r="J35" s="39" t="str">
        <x:v>kategoria produktu</x:v>
      </x:c>
      <x:c r="K35" s="52" t="n">
        <x:v>0.99</x:v>
      </x:c>
      <x:c r="L35" s="53" t="str">
        <x:v>OK</x:v>
      </x:c>
      <x:c r="M35" s="53" t="str">
        <x:v>NIE</x:v>
      </x:c>
      <x:c r="N35" s="53" t="str">
        <x:v>Worksheet!AM10</x:v>
      </x:c>
    </x:row>
    <x:row r="36">
      <x:c r="A36" s="45" t="str">
        <x:v>35178</x:v>
      </x:c>
      <x:c r="B36" s="45" t="str">
        <x:v>001819/KOB</x:v>
      </x:c>
      <x:c r="C36" s="39" t="str">
        <x:v>Lampa uliczna solarna Solar LED Street 15W 4000K Kobi KFNSU15NB</x:v>
      </x:c>
      <x:c r="D36" s="39" t="str">
        <x:v>Lampy uliczne</x:v>
      </x:c>
      <x:c r="E36" s="39" t="str">
        <x:v>Barwa światła</x:v>
      </x:c>
      <x:c r="F36" s="39" t="str">
        <x:v>Atrybut obowiązkowy</x:v>
      </x:c>
      <x:c r="G36" s="39" t="str">
        <x:v>(puste)</x:v>
      </x:c>
      <x:c r="H36" s="39" t="str">
        <x:v>Neutralna</x:v>
      </x:c>
      <x:c r="I36" s="39" t="str">
        <x:v>nazwa produktu w eksporcie WooCommerce</x:v>
      </x:c>
      <x:c r="J36" s="39" t="str">
        <x:v>temperatura barwowa w nazwie</x:v>
      </x:c>
      <x:c r="K36" s="52" t="n">
        <x:v>0.95</x:v>
      </x:c>
      <x:c r="L36" s="53" t="str">
        <x:v>OK</x:v>
      </x:c>
      <x:c r="M36" s="53" t="str">
        <x:v>NIE</x:v>
      </x:c>
      <x:c r="N36" s="53" t="str">
        <x:v>Worksheet!P11</x:v>
      </x:c>
    </x:row>
    <x:row r="37">
      <x:c r="A37" s="45" t="str">
        <x:v>35178</x:v>
      </x:c>
      <x:c r="B37" s="45" t="str">
        <x:v>001819/KOB</x:v>
      </x:c>
      <x:c r="C37" s="39" t="str">
        <x:v>Lampa uliczna solarna Solar LED Street 15W 4000K Kobi KFNSU15NB</x:v>
      </x:c>
      <x:c r="D37" s="39" t="str">
        <x:v>Lampy uliczne</x:v>
      </x:c>
      <x:c r="E37" s="39" t="str">
        <x:v>Kolor</x:v>
      </x:c>
      <x:c r="F37" s="39" t="str">
        <x:v>Atrybut dodatkowy potwierdzony</x:v>
      </x:c>
      <x:c r="G37" s="39" t="str">
        <x:v>(puste)</x:v>
      </x:c>
      <x:c r="H37" s="39" t="str">
        <x:v>Czarny</x:v>
      </x:c>
      <x:c r="I37" s="39" t="str">
        <x:v>aktualny XML Kobi</x:v>
      </x:c>
      <x:c r="J37" s="39" t="str">
        <x:v>Kolor produktu</x:v>
      </x:c>
      <x:c r="K37" s="52" t="n">
        <x:v>0.97</x:v>
      </x:c>
      <x:c r="L37" s="53" t="str">
        <x:v>OK</x:v>
      </x:c>
      <x:c r="M37" s="53" t="str">
        <x:v>NIE</x:v>
      </x:c>
      <x:c r="N37" s="53" t="str">
        <x:v>Worksheet!T11</x:v>
      </x:c>
    </x:row>
    <x:row r="38">
      <x:c r="A38" s="45" t="str">
        <x:v>35178</x:v>
      </x:c>
      <x:c r="B38" s="45" t="str">
        <x:v>001819/KOB</x:v>
      </x:c>
      <x:c r="C38" s="39" t="str">
        <x:v>Lampa uliczna solarna Solar LED Street 15W 4000K Kobi KFNSU15NB</x:v>
      </x:c>
      <x:c r="D38" s="39" t="str">
        <x:v>Lampy uliczne</x:v>
      </x:c>
      <x:c r="E38" s="39" t="str">
        <x:v>Moc [W]</x:v>
      </x:c>
      <x:c r="F38" s="39" t="str">
        <x:v>Atrybut obowiązkowy</x:v>
      </x:c>
      <x:c r="G38" s="39" t="str">
        <x:v>(puste)</x:v>
      </x:c>
      <x:c r="H38" s="39" t="str">
        <x:v>15</x:v>
      </x:c>
      <x:c r="I38" s="39" t="str">
        <x:v>aktualny XML Kobi</x:v>
      </x:c>
      <x:c r="J38" s="39" t="str">
        <x:v>Moc [W]</x:v>
      </x:c>
      <x:c r="K38" s="52" t="n">
        <x:v>0.97</x:v>
      </x:c>
      <x:c r="L38" s="53" t="str">
        <x:v>OK</x:v>
      </x:c>
      <x:c r="M38" s="53" t="str">
        <x:v>NIE</x:v>
      </x:c>
      <x:c r="N38" s="53" t="str">
        <x:v>Worksheet!M11</x:v>
      </x:c>
    </x:row>
    <x:row r="39">
      <x:c r="A39" s="45" t="str">
        <x:v>35178</x:v>
      </x:c>
      <x:c r="B39" s="45" t="str">
        <x:v>001819/KOB</x:v>
      </x:c>
      <x:c r="C39" s="39" t="str">
        <x:v>Lampa uliczna solarna Solar LED Street 15W 4000K Kobi KFNSU15NB</x:v>
      </x:c>
      <x:c r="D39" s="39" t="str">
        <x:v>Lampy uliczne</x:v>
      </x:c>
      <x:c r="E39" s="39" t="str">
        <x:v>Stopień ochrony [IP]</x:v>
      </x:c>
      <x:c r="F39" s="39" t="str">
        <x:v>Atrybut obowiązkowy</x:v>
      </x:c>
      <x:c r="G39" s="39" t="str">
        <x:v>(puste)</x:v>
      </x:c>
      <x:c r="H39" s="39" t="str">
        <x:v>IP 65</x:v>
      </x:c>
      <x:c r="I39" s="39" t="str">
        <x:v>aktualny XML Kobi</x:v>
      </x:c>
      <x:c r="J39" s="39" t="str">
        <x:v>IP</x:v>
      </x:c>
      <x:c r="K39" s="52" t="n">
        <x:v>0.97</x:v>
      </x:c>
      <x:c r="L39" s="53" t="str">
        <x:v>OK</x:v>
      </x:c>
      <x:c r="M39" s="53" t="str">
        <x:v>NIE</x:v>
      </x:c>
      <x:c r="N39" s="53" t="str">
        <x:v>Worksheet!Q11</x:v>
      </x:c>
    </x:row>
    <x:row r="40">
      <x:c r="A40" s="45" t="str">
        <x:v>35178</x:v>
      </x:c>
      <x:c r="B40" s="45" t="str">
        <x:v>001819/KOB</x:v>
      </x:c>
      <x:c r="C40" s="39" t="str">
        <x:v>Lampa uliczna solarna Solar LED Street 15W 4000K Kobi KFNSU15NB</x:v>
      </x:c>
      <x:c r="D40" s="39" t="str">
        <x:v>Lampy uliczne</x:v>
      </x:c>
      <x:c r="E40" s="39" t="str">
        <x:v>Strumień świetlny [lm]</x:v>
      </x:c>
      <x:c r="F40" s="39" t="str">
        <x:v>Atrybut obowiązkowy</x:v>
      </x:c>
      <x:c r="G40" s="39" t="str">
        <x:v>(puste)</x:v>
      </x:c>
      <x:c r="H40" s="39" t="str">
        <x:v>1600</x:v>
      </x:c>
      <x:c r="I40" s="39" t="str">
        <x:v>aktualny XML Kobi</x:v>
      </x:c>
      <x:c r="J40" s="39" t="str">
        <x:v>Strumień świetlny |lm|</x:v>
      </x:c>
      <x:c r="K40" s="52" t="n">
        <x:v>0.97</x:v>
      </x:c>
      <x:c r="L40" s="53" t="str">
        <x:v>OK</x:v>
      </x:c>
      <x:c r="M40" s="53" t="str">
        <x:v>NIE</x:v>
      </x:c>
      <x:c r="N40" s="53" t="str">
        <x:v>Worksheet!N11</x:v>
      </x:c>
    </x:row>
    <x:row r="41">
      <x:c r="A41" s="45" t="str">
        <x:v>35178</x:v>
      </x:c>
      <x:c r="B41" s="45" t="str">
        <x:v>001819/KOB</x:v>
      </x:c>
      <x:c r="C41" s="39" t="str">
        <x:v>Lampa uliczna solarna Solar LED Street 15W 4000K Kobi KFNSU15NB</x:v>
      </x:c>
      <x:c r="D41" s="39" t="str">
        <x:v>Lampy uliczne</x:v>
      </x:c>
      <x:c r="E41" s="39" t="str">
        <x:v>Temperatura barwowa [K]</x:v>
      </x:c>
      <x:c r="F41" s="39" t="str">
        <x:v>Atrybut dodatkowy potwierdzony</x:v>
      </x:c>
      <x:c r="G41" s="39" t="str">
        <x:v>(puste)</x:v>
      </x:c>
      <x:c r="H41" s="39" t="str">
        <x:v>4000</x:v>
      </x:c>
      <x:c r="I41" s="39" t="str">
        <x:v>aktualny XML Kobi</x:v>
      </x:c>
      <x:c r="J41" s="39" t="str">
        <x:v>Temperatura barwowa |K|</x:v>
      </x:c>
      <x:c r="K41" s="52" t="n">
        <x:v>0.97</x:v>
      </x:c>
      <x:c r="L41" s="53" t="str">
        <x:v>OK</x:v>
      </x:c>
      <x:c r="M41" s="53" t="str">
        <x:v>NIE</x:v>
      </x:c>
      <x:c r="N41" s="53" t="str">
        <x:v>Worksheet!O11</x:v>
      </x:c>
    </x:row>
    <x:row r="42">
      <x:c r="A42" s="45" t="str">
        <x:v>35178</x:v>
      </x:c>
      <x:c r="B42" s="45" t="str">
        <x:v>001819/KOB</x:v>
      </x:c>
      <x:c r="C42" s="39" t="str">
        <x:v>Lampa uliczna solarna Solar LED Street 15W 4000K Kobi KFNSU15NB</x:v>
      </x:c>
      <x:c r="D42" s="39" t="str">
        <x:v>Lampy uliczne</x:v>
      </x:c>
      <x:c r="E42" s="39" t="str">
        <x:v>Typ produktu</x:v>
      </x:c>
      <x:c r="F42" s="39" t="str">
        <x:v>Atrybut obowiązkowy</x:v>
      </x:c>
      <x:c r="G42" s="39" t="str">
        <x:v>(puste)</x:v>
      </x:c>
      <x:c r="H42" s="39" t="str">
        <x:v>Oprawa drogowa LED</x:v>
      </x:c>
      <x:c r="I42" s="39" t="str">
        <x:v>aktualny XML Kobi</x:v>
      </x:c>
      <x:c r="J42" s="39" t="str">
        <x:v>typ wywnioskowany z nazwy producenta</x:v>
      </x:c>
      <x:c r="K42" s="52" t="n">
        <x:v>0.88</x:v>
      </x:c>
      <x:c r="L42" s="53" t="str">
        <x:v>WARNING</x:v>
      </x:c>
      <x:c r="M42" s="53" t="str">
        <x:v>NIE</x:v>
      </x:c>
      <x:c r="N42" s="53" t="str">
        <x:v>Worksheet!Y11</x:v>
      </x:c>
    </x:row>
    <x:row r="43">
      <x:c r="A43" s="45" t="str">
        <x:v>35178</x:v>
      </x:c>
      <x:c r="B43" s="45" t="str">
        <x:v>001819/KOB</x:v>
      </x:c>
      <x:c r="C43" s="39" t="str">
        <x:v>Lampa uliczna solarna Solar LED Street 15W 4000K Kobi KFNSU15NB</x:v>
      </x:c>
      <x:c r="D43" s="39" t="str">
        <x:v>Lampy uliczne</x:v>
      </x:c>
      <x:c r="E43" s="39" t="str">
        <x:v>Zasilanie</x:v>
      </x:c>
      <x:c r="F43" s="39" t="str">
        <x:v>Atrybut obowiązkowy</x:v>
      </x:c>
      <x:c r="G43" s="39" t="str">
        <x:v>(puste)</x:v>
      </x:c>
      <x:c r="H43" s="39" t="str">
        <x:v>Solarne</x:v>
      </x:c>
      <x:c r="I43" s="39" t="str">
        <x:v>kategoria + Kobi XML / nazwa produktu</x:v>
      </x:c>
      <x:c r="J43" s="39" t="str">
        <x:v>rodzaj zasilania</x:v>
      </x:c>
      <x:c r="K43" s="52" t="n">
        <x:v>0.96</x:v>
      </x:c>
      <x:c r="L43" s="53" t="str">
        <x:v>OK</x:v>
      </x:c>
      <x:c r="M43" s="53" t="str">
        <x:v>NIE</x:v>
      </x:c>
      <x:c r="N43" s="53" t="str">
        <x:v>Worksheet!S11</x:v>
      </x:c>
    </x:row>
    <x:row r="44">
      <x:c r="A44" s="45" t="str">
        <x:v>39750</x:v>
      </x:c>
      <x:c r="B44" s="45" t="str">
        <x:v>002089/KOB</x:v>
      </x:c>
      <x:c r="C44" s="39" t="str">
        <x:v>Oprawa ruchoma do nadbudowania OH36 biała KPOH36BI</x:v>
      </x:c>
      <x:c r="D44" s="39" t="str">
        <x:v>Oprawy natynkowe</x:v>
      </x:c>
      <x:c r="E44" s="39" t="str">
        <x:v>Liczba źródeł światła</x:v>
      </x:c>
      <x:c r="F44" s="39" t="str">
        <x:v>Atrybut obowiązkowy</x:v>
      </x:c>
      <x:c r="G44" s="39" t="str">
        <x:v>(puste)</x:v>
      </x:c>
      <x:c r="H44" s="39" t="str">
        <x:v>1</x:v>
      </x:c>
      <x:c r="I44" s="39" t="str">
        <x:v>https://b2b.kobi.pl/pl/file/download/9256</x:v>
      </x:c>
      <x:c r="J44" s="39" t="str">
        <x:v>karta rodziny OH36/OH37</x:v>
      </x:c>
      <x:c r="K44" s="52" t="n">
        <x:v>0.99</x:v>
      </x:c>
      <x:c r="L44" s="53" t="str">
        <x:v>OK</x:v>
      </x:c>
      <x:c r="M44" s="53" t="str">
        <x:v>NIE</x:v>
      </x:c>
      <x:c r="N44" s="53" t="str">
        <x:v>Worksheet!AK12</x:v>
      </x:c>
    </x:row>
    <x:row r="45">
      <x:c r="A45" s="45" t="str">
        <x:v>39750</x:v>
      </x:c>
      <x:c r="B45" s="45" t="str">
        <x:v>002089/KOB</x:v>
      </x:c>
      <x:c r="C45" s="39" t="str">
        <x:v>Oprawa ruchoma do nadbudowania OH36 biała KPOH36BI</x:v>
      </x:c>
      <x:c r="D45" s="39" t="str">
        <x:v>Oprawy natynkowe</x:v>
      </x:c>
      <x:c r="E45" s="39" t="str">
        <x:v>Napięcie [V]</x:v>
      </x:c>
      <x:c r="F45" s="39" t="str">
        <x:v>Atrybut dodatkowy potwierdzony</x:v>
      </x:c>
      <x:c r="G45" s="39" t="str">
        <x:v>(puste)</x:v>
      </x:c>
      <x:c r="H45" s="39" t="str">
        <x:v>230</x:v>
      </x:c>
      <x:c r="I45" s="39" t="str">
        <x:v>aktualny XML Kobi</x:v>
      </x:c>
      <x:c r="J45" s="39" t="str">
        <x:v>Napięcie zasilania</x:v>
      </x:c>
      <x:c r="K45" s="52" t="n">
        <x:v>0.97</x:v>
      </x:c>
      <x:c r="L45" s="53" t="str">
        <x:v>OK</x:v>
      </x:c>
      <x:c r="M45" s="53" t="str">
        <x:v>NIE</x:v>
      </x:c>
      <x:c r="N45" s="53" t="str">
        <x:v>Worksheet!AG12</x:v>
      </x:c>
    </x:row>
    <x:row r="46">
      <x:c r="A46" s="45" t="str">
        <x:v>39750</x:v>
      </x:c>
      <x:c r="B46" s="45" t="str">
        <x:v>002089/KOB</x:v>
      </x:c>
      <x:c r="C46" s="39" t="str">
        <x:v>Oprawa ruchoma do nadbudowania OH36 biała KPOH36BI</x:v>
      </x:c>
      <x:c r="D46" s="39" t="str">
        <x:v>Oprawy natynkowe</x:v>
      </x:c>
      <x:c r="E46" s="39" t="str">
        <x:v>Sposób montażu</x:v>
      </x:c>
      <x:c r="F46" s="39" t="str">
        <x:v>Atrybut obowiązkowy</x:v>
      </x:c>
      <x:c r="G46" s="39" t="str">
        <x:v>(puste)</x:v>
      </x:c>
      <x:c r="H46" s="39" t="str">
        <x:v>Natynkowy</x:v>
      </x:c>
      <x:c r="I46" s="39" t="str">
        <x:v>Atrybut Produktu: Rodzaj</x:v>
      </x:c>
      <x:c r="J46" s="39" t="str">
        <x:v>kategoria produktu</x:v>
      </x:c>
      <x:c r="K46" s="52" t="n">
        <x:v>0.99</x:v>
      </x:c>
      <x:c r="L46" s="53" t="str">
        <x:v>OK</x:v>
      </x:c>
      <x:c r="M46" s="53" t="str">
        <x:v>NIE</x:v>
      </x:c>
      <x:c r="N46" s="53" t="str">
        <x:v>Worksheet!AM12</x:v>
      </x:c>
    </x:row>
    <x:row r="47">
      <x:c r="A47" s="45" t="str">
        <x:v>39750</x:v>
      </x:c>
      <x:c r="B47" s="45" t="str">
        <x:v>002089/KOB</x:v>
      </x:c>
      <x:c r="C47" s="39" t="str">
        <x:v>Oprawa ruchoma do nadbudowania OH36 biała KPOH36BI</x:v>
      </x:c>
      <x:c r="D47" s="39" t="str">
        <x:v>Oprawy natynkowe</x:v>
      </x:c>
      <x:c r="E47" s="39" t="str">
        <x:v>Stopień ochrony [IP]</x:v>
      </x:c>
      <x:c r="F47" s="39" t="str">
        <x:v>Atrybut obowiązkowy</x:v>
      </x:c>
      <x:c r="G47" s="39" t="str">
        <x:v>(puste)</x:v>
      </x:c>
      <x:c r="H47" s="39" t="str">
        <x:v>IP 20</x:v>
      </x:c>
      <x:c r="I47" s="39" t="str">
        <x:v>aktualny XML Kobi</x:v>
      </x:c>
      <x:c r="J47" s="39" t="str">
        <x:v>IP</x:v>
      </x:c>
      <x:c r="K47" s="52" t="n">
        <x:v>0.97</x:v>
      </x:c>
      <x:c r="L47" s="53" t="str">
        <x:v>OK</x:v>
      </x:c>
      <x:c r="M47" s="53" t="str">
        <x:v>NIE</x:v>
      </x:c>
      <x:c r="N47" s="53" t="str">
        <x:v>Worksheet!Q12</x:v>
      </x:c>
    </x:row>
    <x:row r="48">
      <x:c r="A48" s="45" t="str">
        <x:v>39750</x:v>
      </x:c>
      <x:c r="B48" s="45" t="str">
        <x:v>002089/KOB</x:v>
      </x:c>
      <x:c r="C48" s="39" t="str">
        <x:v>Oprawa ruchoma do nadbudowania OH36 biała KPOH36BI</x:v>
      </x:c>
      <x:c r="D48" s="39" t="str">
        <x:v>Oprawy natynkowe</x:v>
      </x:c>
      <x:c r="E48" s="39" t="str">
        <x:v>Trzonek</x:v>
      </x:c>
      <x:c r="F48" s="39" t="str">
        <x:v>Atrybut obowiązkowy</x:v>
      </x:c>
      <x:c r="G48" s="39" t="str">
        <x:v>(puste)</x:v>
      </x:c>
      <x:c r="H48" s="39" t="str">
        <x:v>GU10</x:v>
      </x:c>
      <x:c r="I48" s="39" t="str">
        <x:v>aktualny XML Kobi</x:v>
      </x:c>
      <x:c r="J48" s="39" t="str">
        <x:v>Trzonek</x:v>
      </x:c>
      <x:c r="K48" s="52" t="n">
        <x:v>0.97</x:v>
      </x:c>
      <x:c r="L48" s="53" t="str">
        <x:v>OK</x:v>
      </x:c>
      <x:c r="M48" s="53" t="str">
        <x:v>NIE</x:v>
      </x:c>
      <x:c r="N48" s="53" t="str">
        <x:v>Worksheet!AJ12</x:v>
      </x:c>
    </x:row>
    <x:row r="49">
      <x:c r="A49" s="45" t="str">
        <x:v>63877</x:v>
      </x:c>
      <x:c r="B49" s="45" t="str">
        <x:v>002225/KOB</x:v>
      </x:c>
      <x:c r="C49" s="39" t="str">
        <x:v>Lampa KULA OGRODOWA GARDEN BALL L 380mm KAMIEŃ IP65 KOBI KTGBL</x:v>
      </x:c>
      <x:c r="D49" s="39" t="str">
        <x:v>Oprawy ogrodowe</x:v>
      </x:c>
      <x:c r="E49" s="39" t="str">
        <x:v>Kolor</x:v>
      </x:c>
      <x:c r="F49" s="39" t="str">
        <x:v>Atrybut dodatkowy potwierdzony</x:v>
      </x:c>
      <x:c r="G49" s="39" t="str">
        <x:v>(puste)</x:v>
      </x:c>
      <x:c r="H49" s="39" t="str">
        <x:v>Biały</x:v>
      </x:c>
      <x:c r="I49" s="39" t="str">
        <x:v>aktualny XML Kobi</x:v>
      </x:c>
      <x:c r="J49" s="39" t="str">
        <x:v>Kolor produktu</x:v>
      </x:c>
      <x:c r="K49" s="52" t="n">
        <x:v>0.97</x:v>
      </x:c>
      <x:c r="L49" s="53" t="str">
        <x:v>OK</x:v>
      </x:c>
      <x:c r="M49" s="53" t="str">
        <x:v>NIE</x:v>
      </x:c>
      <x:c r="N49" s="53" t="str">
        <x:v>Worksheet!T13</x:v>
      </x:c>
    </x:row>
    <x:row r="50">
      <x:c r="A50" s="45" t="str">
        <x:v>63877</x:v>
      </x:c>
      <x:c r="B50" s="45" t="str">
        <x:v>002225/KOB</x:v>
      </x:c>
      <x:c r="C50" s="39" t="str">
        <x:v>Lampa KULA OGRODOWA GARDEN BALL L 380mm KAMIEŃ IP65 KOBI KTGBL</x:v>
      </x:c>
      <x:c r="D50" s="39" t="str">
        <x:v>Oprawy ogrodowe</x:v>
      </x:c>
      <x:c r="E50" s="39" t="str">
        <x:v>Napięcie [V]</x:v>
      </x:c>
      <x:c r="F50" s="39" t="str">
        <x:v>Atrybut dodatkowy potwierdzony</x:v>
      </x:c>
      <x:c r="G50" s="39" t="str">
        <x:v>(puste)</x:v>
      </x:c>
      <x:c r="H50" s="39" t="str">
        <x:v>230</x:v>
      </x:c>
      <x:c r="I50" s="39" t="str">
        <x:v>aktualny XML Kobi</x:v>
      </x:c>
      <x:c r="J50" s="39" t="str">
        <x:v>Napięcie zasilania</x:v>
      </x:c>
      <x:c r="K50" s="52" t="n">
        <x:v>0.97</x:v>
      </x:c>
      <x:c r="L50" s="53" t="str">
        <x:v>OK</x:v>
      </x:c>
      <x:c r="M50" s="53" t="str">
        <x:v>NIE</x:v>
      </x:c>
      <x:c r="N50" s="53" t="str">
        <x:v>Worksheet!AG13</x:v>
      </x:c>
    </x:row>
    <x:row r="51">
      <x:c r="A51" s="45" t="str">
        <x:v>63877</x:v>
      </x:c>
      <x:c r="B51" s="45" t="str">
        <x:v>002225/KOB</x:v>
      </x:c>
      <x:c r="C51" s="39" t="str">
        <x:v>Lampa KULA OGRODOWA GARDEN BALL L 380mm KAMIEŃ IP65 KOBI KTGBL</x:v>
      </x:c>
      <x:c r="D51" s="39" t="str">
        <x:v>Oprawy ogrodowe</x:v>
      </x:c>
      <x:c r="E51" s="39" t="str">
        <x:v>Stopień ochrony [IP]</x:v>
      </x:c>
      <x:c r="F51" s="39" t="str">
        <x:v>Atrybut dodatkowy potwierdzony</x:v>
      </x:c>
      <x:c r="G51" s="39" t="str">
        <x:v>(puste)</x:v>
      </x:c>
      <x:c r="H51" s="39" t="str">
        <x:v>IP 65</x:v>
      </x:c>
      <x:c r="I51" s="39" t="str">
        <x:v>aktualny XML Kobi</x:v>
      </x:c>
      <x:c r="J51" s="39" t="str">
        <x:v>IP</x:v>
      </x:c>
      <x:c r="K51" s="52" t="n">
        <x:v>0.97</x:v>
      </x:c>
      <x:c r="L51" s="53" t="str">
        <x:v>OK</x:v>
      </x:c>
      <x:c r="M51" s="53" t="str">
        <x:v>NIE</x:v>
      </x:c>
      <x:c r="N51" s="53" t="str">
        <x:v>Worksheet!Q13</x:v>
      </x:c>
    </x:row>
    <x:row r="52">
      <x:c r="A52" s="45" t="str">
        <x:v>63877</x:v>
      </x:c>
      <x:c r="B52" s="45" t="str">
        <x:v>002225/KOB</x:v>
      </x:c>
      <x:c r="C52" s="39" t="str">
        <x:v>Lampa KULA OGRODOWA GARDEN BALL L 380mm KAMIEŃ IP65 KOBI KTGBL</x:v>
      </x:c>
      <x:c r="D52" s="39" t="str">
        <x:v>Oprawy ogrodowe</x:v>
      </x:c>
      <x:c r="E52" s="39" t="str">
        <x:v>Trzonek</x:v>
      </x:c>
      <x:c r="F52" s="39" t="str">
        <x:v>Atrybut dodatkowy potwierdzony</x:v>
      </x:c>
      <x:c r="G52" s="39" t="str">
        <x:v>(puste)</x:v>
      </x:c>
      <x:c r="H52" s="39" t="str">
        <x:v>E27</x:v>
      </x:c>
      <x:c r="I52" s="39" t="str">
        <x:v>aktualny XML Kobi</x:v>
      </x:c>
      <x:c r="J52" s="39" t="str">
        <x:v>Trzonek</x:v>
      </x:c>
      <x:c r="K52" s="52" t="n">
        <x:v>0.97</x:v>
      </x:c>
      <x:c r="L52" s="53" t="str">
        <x:v>OK</x:v>
      </x:c>
      <x:c r="M52" s="53" t="str">
        <x:v>NIE</x:v>
      </x:c>
      <x:c r="N52" s="53" t="str">
        <x:v>Worksheet!AJ13</x:v>
      </x:c>
    </x:row>
    <x:row r="53">
      <x:c r="A53" s="45" t="str">
        <x:v>63878</x:v>
      </x:c>
      <x:c r="B53" s="45" t="str">
        <x:v>002226/KOB</x:v>
      </x:c>
      <x:c r="C53" s="39" t="str">
        <x:v>Lampa Kula Ogrodowa Garden Ball M 280mm Kamień IP65 KOBI KTGBM</x:v>
      </x:c>
      <x:c r="D53" s="39" t="str">
        <x:v>Oprawy ogrodowe</x:v>
      </x:c>
      <x:c r="E53" s="39" t="str">
        <x:v>Kolor</x:v>
      </x:c>
      <x:c r="F53" s="39" t="str">
        <x:v>Atrybut dodatkowy potwierdzony</x:v>
      </x:c>
      <x:c r="G53" s="39" t="str">
        <x:v>(puste)</x:v>
      </x:c>
      <x:c r="H53" s="39" t="str">
        <x:v>Biały</x:v>
      </x:c>
      <x:c r="I53" s="39" t="str">
        <x:v>aktualny XML Kobi</x:v>
      </x:c>
      <x:c r="J53" s="39" t="str">
        <x:v>Kolor produktu</x:v>
      </x:c>
      <x:c r="K53" s="52" t="n">
        <x:v>0.97</x:v>
      </x:c>
      <x:c r="L53" s="53" t="str">
        <x:v>OK</x:v>
      </x:c>
      <x:c r="M53" s="53" t="str">
        <x:v>NIE</x:v>
      </x:c>
      <x:c r="N53" s="53" t="str">
        <x:v>Worksheet!T14</x:v>
      </x:c>
    </x:row>
    <x:row r="54">
      <x:c r="A54" s="45" t="str">
        <x:v>63878</x:v>
      </x:c>
      <x:c r="B54" s="45" t="str">
        <x:v>002226/KOB</x:v>
      </x:c>
      <x:c r="C54" s="39" t="str">
        <x:v>Lampa Kula Ogrodowa Garden Ball M 280mm Kamień IP65 KOBI KTGBM</x:v>
      </x:c>
      <x:c r="D54" s="39" t="str">
        <x:v>Oprawy ogrodowe</x:v>
      </x:c>
      <x:c r="E54" s="39" t="str">
        <x:v>Napięcie [V]</x:v>
      </x:c>
      <x:c r="F54" s="39" t="str">
        <x:v>Atrybut dodatkowy potwierdzony</x:v>
      </x:c>
      <x:c r="G54" s="39" t="str">
        <x:v>(puste)</x:v>
      </x:c>
      <x:c r="H54" s="39" t="str">
        <x:v>230</x:v>
      </x:c>
      <x:c r="I54" s="39" t="str">
        <x:v>aktualny XML Kobi</x:v>
      </x:c>
      <x:c r="J54" s="39" t="str">
        <x:v>Napięcie zasilania</x:v>
      </x:c>
      <x:c r="K54" s="52" t="n">
        <x:v>0.97</x:v>
      </x:c>
      <x:c r="L54" s="53" t="str">
        <x:v>OK</x:v>
      </x:c>
      <x:c r="M54" s="53" t="str">
        <x:v>NIE</x:v>
      </x:c>
      <x:c r="N54" s="53" t="str">
        <x:v>Worksheet!AG14</x:v>
      </x:c>
    </x:row>
    <x:row r="55">
      <x:c r="A55" s="45" t="str">
        <x:v>63878</x:v>
      </x:c>
      <x:c r="B55" s="45" t="str">
        <x:v>002226/KOB</x:v>
      </x:c>
      <x:c r="C55" s="39" t="str">
        <x:v>Lampa Kula Ogrodowa Garden Ball M 280mm Kamień IP65 KOBI KTGBM</x:v>
      </x:c>
      <x:c r="D55" s="39" t="str">
        <x:v>Oprawy ogrodowe</x:v>
      </x:c>
      <x:c r="E55" s="39" t="str">
        <x:v>Stopień ochrony [IP]</x:v>
      </x:c>
      <x:c r="F55" s="39" t="str">
        <x:v>Atrybut dodatkowy potwierdzony</x:v>
      </x:c>
      <x:c r="G55" s="39" t="str">
        <x:v>(puste)</x:v>
      </x:c>
      <x:c r="H55" s="39" t="str">
        <x:v>IP 65</x:v>
      </x:c>
      <x:c r="I55" s="39" t="str">
        <x:v>aktualny XML Kobi</x:v>
      </x:c>
      <x:c r="J55" s="39" t="str">
        <x:v>IP</x:v>
      </x:c>
      <x:c r="K55" s="52" t="n">
        <x:v>0.97</x:v>
      </x:c>
      <x:c r="L55" s="53" t="str">
        <x:v>OK</x:v>
      </x:c>
      <x:c r="M55" s="53" t="str">
        <x:v>NIE</x:v>
      </x:c>
      <x:c r="N55" s="53" t="str">
        <x:v>Worksheet!Q14</x:v>
      </x:c>
    </x:row>
    <x:row r="56">
      <x:c r="A56" s="45" t="str">
        <x:v>63878</x:v>
      </x:c>
      <x:c r="B56" s="45" t="str">
        <x:v>002226/KOB</x:v>
      </x:c>
      <x:c r="C56" s="39" t="str">
        <x:v>Lampa Kula Ogrodowa Garden Ball M 280mm Kamień IP65 KOBI KTGBM</x:v>
      </x:c>
      <x:c r="D56" s="39" t="str">
        <x:v>Oprawy ogrodowe</x:v>
      </x:c>
      <x:c r="E56" s="39" t="str">
        <x:v>Trzonek</x:v>
      </x:c>
      <x:c r="F56" s="39" t="str">
        <x:v>Atrybut dodatkowy potwierdzony</x:v>
      </x:c>
      <x:c r="G56" s="39" t="str">
        <x:v>(puste)</x:v>
      </x:c>
      <x:c r="H56" s="39" t="str">
        <x:v>E27</x:v>
      </x:c>
      <x:c r="I56" s="39" t="str">
        <x:v>aktualny XML Kobi</x:v>
      </x:c>
      <x:c r="J56" s="39" t="str">
        <x:v>Trzonek</x:v>
      </x:c>
      <x:c r="K56" s="52" t="n">
        <x:v>0.97</x:v>
      </x:c>
      <x:c r="L56" s="53" t="str">
        <x:v>OK</x:v>
      </x:c>
      <x:c r="M56" s="53" t="str">
        <x:v>NIE</x:v>
      </x:c>
      <x:c r="N56" s="53" t="str">
        <x:v>Worksheet!AJ14</x:v>
      </x:c>
    </x:row>
    <x:row r="57">
      <x:c r="A57" s="45" t="str">
        <x:v>63879</x:v>
      </x:c>
      <x:c r="B57" s="45" t="str">
        <x:v>002227/KOB</x:v>
      </x:c>
      <x:c r="C57" s="39" t="str">
        <x:v>Lampa Kula Ogrodowa Garden Ball S 250mm Kamień IP65 KOBI KTGBS</x:v>
      </x:c>
      <x:c r="D57" s="39" t="str">
        <x:v>Oprawy ogrodowe</x:v>
      </x:c>
      <x:c r="E57" s="39" t="str">
        <x:v>Kolor</x:v>
      </x:c>
      <x:c r="F57" s="39" t="str">
        <x:v>Atrybut dodatkowy potwierdzony</x:v>
      </x:c>
      <x:c r="G57" s="39" t="str">
        <x:v>(puste)</x:v>
      </x:c>
      <x:c r="H57" s="39" t="str">
        <x:v>Biały</x:v>
      </x:c>
      <x:c r="I57" s="39" t="str">
        <x:v>aktualny XML Kobi</x:v>
      </x:c>
      <x:c r="J57" s="39" t="str">
        <x:v>Kolor produktu</x:v>
      </x:c>
      <x:c r="K57" s="52" t="n">
        <x:v>0.97</x:v>
      </x:c>
      <x:c r="L57" s="53" t="str">
        <x:v>OK</x:v>
      </x:c>
      <x:c r="M57" s="53" t="str">
        <x:v>NIE</x:v>
      </x:c>
      <x:c r="N57" s="53" t="str">
        <x:v>Worksheet!T15</x:v>
      </x:c>
    </x:row>
    <x:row r="58">
      <x:c r="A58" s="45" t="str">
        <x:v>63879</x:v>
      </x:c>
      <x:c r="B58" s="45" t="str">
        <x:v>002227/KOB</x:v>
      </x:c>
      <x:c r="C58" s="39" t="str">
        <x:v>Lampa Kula Ogrodowa Garden Ball S 250mm Kamień IP65 KOBI KTGBS</x:v>
      </x:c>
      <x:c r="D58" s="39" t="str">
        <x:v>Oprawy ogrodowe</x:v>
      </x:c>
      <x:c r="E58" s="39" t="str">
        <x:v>Napięcie [V]</x:v>
      </x:c>
      <x:c r="F58" s="39" t="str">
        <x:v>Atrybut dodatkowy potwierdzony</x:v>
      </x:c>
      <x:c r="G58" s="39" t="str">
        <x:v>(puste)</x:v>
      </x:c>
      <x:c r="H58" s="39" t="str">
        <x:v>230</x:v>
      </x:c>
      <x:c r="I58" s="39" t="str">
        <x:v>aktualny XML Kobi</x:v>
      </x:c>
      <x:c r="J58" s="39" t="str">
        <x:v>Napięcie zasilania</x:v>
      </x:c>
      <x:c r="K58" s="52" t="n">
        <x:v>0.97</x:v>
      </x:c>
      <x:c r="L58" s="53" t="str">
        <x:v>OK</x:v>
      </x:c>
      <x:c r="M58" s="53" t="str">
        <x:v>NIE</x:v>
      </x:c>
      <x:c r="N58" s="53" t="str">
        <x:v>Worksheet!AG15</x:v>
      </x:c>
    </x:row>
    <x:row r="59">
      <x:c r="A59" s="45" t="str">
        <x:v>63879</x:v>
      </x:c>
      <x:c r="B59" s="45" t="str">
        <x:v>002227/KOB</x:v>
      </x:c>
      <x:c r="C59" s="39" t="str">
        <x:v>Lampa Kula Ogrodowa Garden Ball S 250mm Kamień IP65 KOBI KTGBS</x:v>
      </x:c>
      <x:c r="D59" s="39" t="str">
        <x:v>Oprawy ogrodowe</x:v>
      </x:c>
      <x:c r="E59" s="39" t="str">
        <x:v>Stopień ochrony [IP]</x:v>
      </x:c>
      <x:c r="F59" s="39" t="str">
        <x:v>Atrybut dodatkowy potwierdzony</x:v>
      </x:c>
      <x:c r="G59" s="39" t="str">
        <x:v>(puste)</x:v>
      </x:c>
      <x:c r="H59" s="39" t="str">
        <x:v>IP 65</x:v>
      </x:c>
      <x:c r="I59" s="39" t="str">
        <x:v>aktualny XML Kobi</x:v>
      </x:c>
      <x:c r="J59" s="39" t="str">
        <x:v>IP</x:v>
      </x:c>
      <x:c r="K59" s="52" t="n">
        <x:v>0.97</x:v>
      </x:c>
      <x:c r="L59" s="53" t="str">
        <x:v>OK</x:v>
      </x:c>
      <x:c r="M59" s="53" t="str">
        <x:v>NIE</x:v>
      </x:c>
      <x:c r="N59" s="53" t="str">
        <x:v>Worksheet!Q15</x:v>
      </x:c>
    </x:row>
    <x:row r="60">
      <x:c r="A60" s="45" t="str">
        <x:v>63879</x:v>
      </x:c>
      <x:c r="B60" s="45" t="str">
        <x:v>002227/KOB</x:v>
      </x:c>
      <x:c r="C60" s="39" t="str">
        <x:v>Lampa Kula Ogrodowa Garden Ball S 250mm Kamień IP65 KOBI KTGBS</x:v>
      </x:c>
      <x:c r="D60" s="39" t="str">
        <x:v>Oprawy ogrodowe</x:v>
      </x:c>
      <x:c r="E60" s="39" t="str">
        <x:v>Trzonek</x:v>
      </x:c>
      <x:c r="F60" s="39" t="str">
        <x:v>Atrybut dodatkowy potwierdzony</x:v>
      </x:c>
      <x:c r="G60" s="39" t="str">
        <x:v>(puste)</x:v>
      </x:c>
      <x:c r="H60" s="39" t="str">
        <x:v>E27</x:v>
      </x:c>
      <x:c r="I60" s="39" t="str">
        <x:v>aktualny XML Kobi</x:v>
      </x:c>
      <x:c r="J60" s="39" t="str">
        <x:v>Trzonek</x:v>
      </x:c>
      <x:c r="K60" s="52" t="n">
        <x:v>0.97</x:v>
      </x:c>
      <x:c r="L60" s="53" t="str">
        <x:v>OK</x:v>
      </x:c>
      <x:c r="M60" s="53" t="str">
        <x:v>NIE</x:v>
      </x:c>
      <x:c r="N60" s="53" t="str">
        <x:v>Worksheet!AJ15</x:v>
      </x:c>
    </x:row>
    <x:row r="61">
      <x:c r="A61" s="45" t="str">
        <x:v>66024</x:v>
      </x:c>
      <x:c r="B61" s="45" t="str">
        <x:v>002097/KOB</x:v>
      </x:c>
      <x:c r="C61" s="39" t="str">
        <x:v>Oprawa tuba ruchoma do nadbudowania OH36S czarna KPOH36SCZ</x:v>
      </x:c>
      <x:c r="D61" s="39" t="str">
        <x:v>Oprawy natynkowe</x:v>
      </x:c>
      <x:c r="E61" s="39" t="str">
        <x:v>Kolor</x:v>
      </x:c>
      <x:c r="F61" s="39" t="str">
        <x:v>Atrybut obowiązkowy</x:v>
      </x:c>
      <x:c r="G61" s="39" t="str">
        <x:v>(puste)</x:v>
      </x:c>
      <x:c r="H61" s="39" t="str">
        <x:v>Czarny</x:v>
      </x:c>
      <x:c r="I61" s="39" t="str">
        <x:v>aktualny XML Kobi</x:v>
      </x:c>
      <x:c r="J61" s="39" t="str">
        <x:v>Kolor produktu</x:v>
      </x:c>
      <x:c r="K61" s="52" t="n">
        <x:v>0.97</x:v>
      </x:c>
      <x:c r="L61" s="53" t="str">
        <x:v>OK</x:v>
      </x:c>
      <x:c r="M61" s="53" t="str">
        <x:v>NIE</x:v>
      </x:c>
      <x:c r="N61" s="53" t="str">
        <x:v>Worksheet!T16</x:v>
      </x:c>
    </x:row>
    <x:row r="62">
      <x:c r="A62" s="45" t="str">
        <x:v>66024</x:v>
      </x:c>
      <x:c r="B62" s="45" t="str">
        <x:v>002097/KOB</x:v>
      </x:c>
      <x:c r="C62" s="39" t="str">
        <x:v>Oprawa tuba ruchoma do nadbudowania OH36S czarna KPOH36SCZ</x:v>
      </x:c>
      <x:c r="D62" s="39" t="str">
        <x:v>Oprawy natynkowe</x:v>
      </x:c>
      <x:c r="E62" s="39" t="str">
        <x:v>Napięcie [V]</x:v>
      </x:c>
      <x:c r="F62" s="39" t="str">
        <x:v>Atrybut dodatkowy potwierdzony</x:v>
      </x:c>
      <x:c r="G62" s="39" t="str">
        <x:v>(puste)</x:v>
      </x:c>
      <x:c r="H62" s="39" t="str">
        <x:v>230</x:v>
      </x:c>
      <x:c r="I62" s="39" t="str">
        <x:v>aktualny XML Kobi</x:v>
      </x:c>
      <x:c r="J62" s="39" t="str">
        <x:v>Napięcie zasilania</x:v>
      </x:c>
      <x:c r="K62" s="52" t="n">
        <x:v>0.97</x:v>
      </x:c>
      <x:c r="L62" s="53" t="str">
        <x:v>OK</x:v>
      </x:c>
      <x:c r="M62" s="53" t="str">
        <x:v>NIE</x:v>
      </x:c>
      <x:c r="N62" s="53" t="str">
        <x:v>Worksheet!AG16</x:v>
      </x:c>
    </x:row>
    <x:row r="63">
      <x:c r="A63" s="45" t="str">
        <x:v>66024</x:v>
      </x:c>
      <x:c r="B63" s="45" t="str">
        <x:v>002097/KOB</x:v>
      </x:c>
      <x:c r="C63" s="39" t="str">
        <x:v>Oprawa tuba ruchoma do nadbudowania OH36S czarna KPOH36SCZ</x:v>
      </x:c>
      <x:c r="D63" s="39" t="str">
        <x:v>Oprawy natynkowe</x:v>
      </x:c>
      <x:c r="E63" s="39" t="str">
        <x:v>Sposób montażu</x:v>
      </x:c>
      <x:c r="F63" s="39" t="str">
        <x:v>Atrybut obowiązkowy</x:v>
      </x:c>
      <x:c r="G63" s="39" t="str">
        <x:v>(puste)</x:v>
      </x:c>
      <x:c r="H63" s="39" t="str">
        <x:v>Natynkowy</x:v>
      </x:c>
      <x:c r="I63" s="39" t="str">
        <x:v>nazwa produktu w eksporcie WooCommerce</x:v>
      </x:c>
      <x:c r="J63" s="39" t="str">
        <x:v>kategoria produktu</x:v>
      </x:c>
      <x:c r="K63" s="52" t="n">
        <x:v>0.94</x:v>
      </x:c>
      <x:c r="L63" s="53" t="str">
        <x:v>OK</x:v>
      </x:c>
      <x:c r="M63" s="53" t="str">
        <x:v>NIE</x:v>
      </x:c>
      <x:c r="N63" s="53" t="str">
        <x:v>Worksheet!AM16</x:v>
      </x:c>
    </x:row>
    <x:row r="64">
      <x:c r="A64" s="45" t="str">
        <x:v>66024</x:v>
      </x:c>
      <x:c r="B64" s="45" t="str">
        <x:v>002097/KOB</x:v>
      </x:c>
      <x:c r="C64" s="39" t="str">
        <x:v>Oprawa tuba ruchoma do nadbudowania OH36S czarna KPOH36SCZ</x:v>
      </x:c>
      <x:c r="D64" s="39" t="str">
        <x:v>Oprawy natynkowe</x:v>
      </x:c>
      <x:c r="E64" s="39" t="str">
        <x:v>Stopień ochrony [IP]</x:v>
      </x:c>
      <x:c r="F64" s="39" t="str">
        <x:v>Atrybut obowiązkowy</x:v>
      </x:c>
      <x:c r="G64" s="39" t="str">
        <x:v>(puste)</x:v>
      </x:c>
      <x:c r="H64" s="39" t="str">
        <x:v>IP 20</x:v>
      </x:c>
      <x:c r="I64" s="39" t="str">
        <x:v>aktualny XML Kobi</x:v>
      </x:c>
      <x:c r="J64" s="39" t="str">
        <x:v>IP</x:v>
      </x:c>
      <x:c r="K64" s="52" t="n">
        <x:v>0.97</x:v>
      </x:c>
      <x:c r="L64" s="53" t="str">
        <x:v>OK</x:v>
      </x:c>
      <x:c r="M64" s="53" t="str">
        <x:v>NIE</x:v>
      </x:c>
      <x:c r="N64" s="53" t="str">
        <x:v>Worksheet!Q16</x:v>
      </x:c>
    </x:row>
    <x:row r="65">
      <x:c r="A65" s="45" t="str">
        <x:v>70472</x:v>
      </x:c>
      <x:c r="B65" s="45" t="str">
        <x:v>002333/KOB</x:v>
      </x:c>
      <x:c r="C65" s="39" t="str">
        <x:v>Oprawa najazdowa dogruntowa okrągła GU10 IP65 ENTRADA 2 Kobi KUEA2</x:v>
      </x:c>
      <x:c r="D65" s="39" t="str">
        <x:v>Oprawy najazdowe</x:v>
      </x:c>
      <x:c r="E65" s="39" t="str">
        <x:v>Napięcie [V]</x:v>
      </x:c>
      <x:c r="F65" s="39" t="str">
        <x:v>Atrybut dodatkowy potwierdzony</x:v>
      </x:c>
      <x:c r="G65" s="39" t="str">
        <x:v>(puste)</x:v>
      </x:c>
      <x:c r="H65" s="39" t="str">
        <x:v>230</x:v>
      </x:c>
      <x:c r="I65" s="39" t="str">
        <x:v>aktualny XML Kobi</x:v>
      </x:c>
      <x:c r="J65" s="39" t="str">
        <x:v>Napięcie zasilania</x:v>
      </x:c>
      <x:c r="K65" s="52" t="n">
        <x:v>0.97</x:v>
      </x:c>
      <x:c r="L65" s="53" t="str">
        <x:v>OK</x:v>
      </x:c>
      <x:c r="M65" s="53" t="str">
        <x:v>NIE</x:v>
      </x:c>
      <x:c r="N65" s="53" t="str">
        <x:v>Worksheet!AG17</x:v>
      </x:c>
    </x:row>
    <x:row r="66">
      <x:c r="A66" s="45" t="str">
        <x:v>70472</x:v>
      </x:c>
      <x:c r="B66" s="45" t="str">
        <x:v>002333/KOB</x:v>
      </x:c>
      <x:c r="C66" s="39" t="str">
        <x:v>Oprawa najazdowa dogruntowa okrągła GU10 IP65 ENTRADA 2 Kobi KUEA2</x:v>
      </x:c>
      <x:c r="D66" s="39" t="str">
        <x:v>Oprawy najazdowe</x:v>
      </x:c>
      <x:c r="E66" s="39" t="str">
        <x:v>Stopień ochrony [IP]</x:v>
      </x:c>
      <x:c r="F66" s="39" t="str">
        <x:v>Atrybut obowiązkowy</x:v>
      </x:c>
      <x:c r="G66" s="39" t="str">
        <x:v>(puste)</x:v>
      </x:c>
      <x:c r="H66" s="39" t="str">
        <x:v>IP 65</x:v>
      </x:c>
      <x:c r="I66" s="39" t="str">
        <x:v>aktualny XML Kobi</x:v>
      </x:c>
      <x:c r="J66" s="39" t="str">
        <x:v>IP</x:v>
      </x:c>
      <x:c r="K66" s="52" t="n">
        <x:v>0.97</x:v>
      </x:c>
      <x:c r="L66" s="53" t="str">
        <x:v>OK</x:v>
      </x:c>
      <x:c r="M66" s="53" t="str">
        <x:v>NIE</x:v>
      </x:c>
      <x:c r="N66" s="53" t="str">
        <x:v>Worksheet!Q17</x:v>
      </x:c>
    </x:row>
    <x:row r="67">
      <x:c r="A67" s="45" t="str">
        <x:v>70472</x:v>
      </x:c>
      <x:c r="B67" s="45" t="str">
        <x:v>002333/KOB</x:v>
      </x:c>
      <x:c r="C67" s="39" t="str">
        <x:v>Oprawa najazdowa dogruntowa okrągła GU10 IP65 ENTRADA 2 Kobi KUEA2</x:v>
      </x:c>
      <x:c r="D67" s="39" t="str">
        <x:v>Oprawy najazdowe</x:v>
      </x:c>
      <x:c r="E67" s="39" t="str">
        <x:v>Trzonek</x:v>
      </x:c>
      <x:c r="F67" s="39" t="str">
        <x:v>Atrybut obowiązkowy</x:v>
      </x:c>
      <x:c r="G67" s="39" t="str">
        <x:v>(puste)</x:v>
      </x:c>
      <x:c r="H67" s="39" t="str">
        <x:v>GU10</x:v>
      </x:c>
      <x:c r="I67" s="39" t="str">
        <x:v>aktualny XML Kobi</x:v>
      </x:c>
      <x:c r="J67" s="39" t="str">
        <x:v>Trzonek</x:v>
      </x:c>
      <x:c r="K67" s="52" t="n">
        <x:v>0.97</x:v>
      </x:c>
      <x:c r="L67" s="53" t="str">
        <x:v>OK</x:v>
      </x:c>
      <x:c r="M67" s="53" t="str">
        <x:v>NIE</x:v>
      </x:c>
      <x:c r="N67" s="53" t="str">
        <x:v>Worksheet!AJ17</x:v>
      </x:c>
    </x:row>
    <x:row r="68">
      <x:c r="A68" s="45" t="str">
        <x:v>70472</x:v>
      </x:c>
      <x:c r="B68" s="45" t="str">
        <x:v>002333/KOB</x:v>
      </x:c>
      <x:c r="C68" s="39" t="str">
        <x:v>Oprawa najazdowa dogruntowa okrągła GU10 IP65 ENTRADA 2 Kobi KUEA2</x:v>
      </x:c>
      <x:c r="D68" s="39" t="str">
        <x:v>Oprawy najazdowe</x:v>
      </x:c>
      <x:c r="E68" s="39" t="str">
        <x:v>Zasilanie</x:v>
      </x:c>
      <x:c r="F68" s="39" t="str">
        <x:v>Atrybut obowiązkowy</x:v>
      </x:c>
      <x:c r="G68" s="39" t="str">
        <x:v>(puste)</x:v>
      </x:c>
      <x:c r="H68" s="39" t="str">
        <x:v>Sieciowe</x:v>
      </x:c>
      <x:c r="I68" s="39" t="str">
        <x:v>kategoria + Kobi XML / nazwa produktu</x:v>
      </x:c>
      <x:c r="J68" s="39" t="str">
        <x:v>rodzaj zasilania</x:v>
      </x:c>
      <x:c r="K68" s="52" t="n">
        <x:v>0.96</x:v>
      </x:c>
      <x:c r="L68" s="53" t="str">
        <x:v>OK</x:v>
      </x:c>
      <x:c r="M68" s="53" t="str">
        <x:v>NIE</x:v>
      </x:c>
      <x:c r="N68" s="53" t="str">
        <x:v>Worksheet!S17</x:v>
      </x:c>
    </x:row>
    <x:row r="69">
      <x:c r="A69" s="45" t="str">
        <x:v>70472</x:v>
      </x:c>
      <x:c r="B69" s="45" t="str">
        <x:v>002333/KOB</x:v>
      </x:c>
      <x:c r="C69" s="39" t="str">
        <x:v>Oprawa najazdowa dogruntowa okrągła GU10 IP65 ENTRADA 2 Kobi KUEA2</x:v>
      </x:c>
      <x:c r="D69" s="39" t="str">
        <x:v>Oprawy najazdowe</x:v>
      </x:c>
      <x:c r="E69" s="39" t="str">
        <x:v>Kształt</x:v>
      </x:c>
      <x:c r="F69" s="39" t="str">
        <x:v>Atrybut obowiązkowy</x:v>
      </x:c>
      <x:c r="G69" s="39" t="str">
        <x:v>(puste)</x:v>
      </x:c>
      <x:c r="H69" s="39" t="str">
        <x:v>Okrągły</x:v>
      </x:c>
      <x:c r="I69" s="39" t="str">
        <x:v>aktualny XML Kobi</x:v>
      </x:c>
      <x:c r="J69" s="39" t="str">
        <x:v>wartość wywnioskowana z nazwy producenta</x:v>
      </x:c>
      <x:c r="K69" s="52" t="n">
        <x:v>0.86</x:v>
      </x:c>
      <x:c r="L69" s="53" t="str">
        <x:v>WARNING</x:v>
      </x:c>
      <x:c r="M69" s="53" t="str">
        <x:v>NIE</x:v>
      </x:c>
      <x:c r="N69" s="53" t="str">
        <x:v>Worksheet!AE17</x:v>
      </x:c>
    </x:row>
    <x:row r="70">
      <x:c r="A70" s="45" t="str">
        <x:v>82175</x:v>
      </x:c>
      <x:c r="B70" s="45" t="str">
        <x:v>001709/KOB</x:v>
      </x:c>
      <x:c r="C70" s="39" t="str">
        <x:v>Oprawa LED HIGH BAY NINA 100W 16000lm 4000K neutralna IP65 Kobi KFNA10114</x:v>
      </x:c>
      <x:c r="D70" s="39" t="str">
        <x:v>High Bay</x:v>
      </x:c>
      <x:c r="E70" s="39" t="str">
        <x:v>Stopień odporności [IK]</x:v>
      </x:c>
      <x:c r="F70" s="39" t="str">
        <x:v>Atrybut obowiązkowy</x:v>
      </x:c>
      <x:c r="G70" s="39" t="str">
        <x:v>(puste)</x:v>
      </x:c>
      <x:c r="H70" s="39" t="str">
        <x:v>IK07</x:v>
      </x:c>
      <x:c r="I70" s="39" t="str">
        <x:v>https://b2b.kobi.pl/pl/product/10048%2Chigh-bay-led-nina-150w-4000k-110-kobi-pro</x:v>
      </x:c>
      <x:c r="J70" s="39" t="str">
        <x:v>oficjalna karta rodziny NINA</x:v>
      </x:c>
      <x:c r="K70" s="52" t="n">
        <x:v>0.99</x:v>
      </x:c>
      <x:c r="L70" s="53" t="str">
        <x:v>OK</x:v>
      </x:c>
      <x:c r="M70" s="53" t="str">
        <x:v>NIE</x:v>
      </x:c>
      <x:c r="N70" s="53" t="str">
        <x:v>Worksheet!R18</x:v>
      </x:c>
    </x:row>
    <x:row r="71">
      <x:c r="A71" s="45" t="str">
        <x:v>82175</x:v>
      </x:c>
      <x:c r="B71" s="45" t="str">
        <x:v>001709/KOB</x:v>
      </x:c>
      <x:c r="C71" s="39" t="str">
        <x:v>Oprawa LED HIGH BAY NINA 100W 16000lm 4000K neutralna IP65 Kobi KFNA10114</x:v>
      </x:c>
      <x:c r="D71" s="39" t="str">
        <x:v>High Bay</x:v>
      </x:c>
      <x:c r="E71" s="39" t="str">
        <x:v>Typ produktu</x:v>
      </x:c>
      <x:c r="F71" s="39" t="str">
        <x:v>Atrybut obowiązkowy</x:v>
      </x:c>
      <x:c r="G71" s="39" t="str">
        <x:v>(puste)</x:v>
      </x:c>
      <x:c r="H71" s="39" t="str">
        <x:v>Oprawa High Bay LED</x:v>
      </x:c>
      <x:c r="I71" s="39" t="str">
        <x:v>nazwa produktu w eksporcie WooCommerce</x:v>
      </x:c>
      <x:c r="J71" s="39" t="str">
        <x:v>typ wywnioskowany z nazwy producenta</x:v>
      </x:c>
      <x:c r="K71" s="52" t="n">
        <x:v>0.88</x:v>
      </x:c>
      <x:c r="L71" s="53" t="str">
        <x:v>WARNING</x:v>
      </x:c>
      <x:c r="M71" s="53" t="str">
        <x:v>NIE</x:v>
      </x:c>
      <x:c r="N71" s="53" t="str">
        <x:v>Worksheet!Y18</x:v>
      </x:c>
    </x:row>
    <x:row r="72">
      <x:c r="A72" s="45" t="str">
        <x:v>82176</x:v>
      </x:c>
      <x:c r="B72" s="45" t="str">
        <x:v>001711/KOB</x:v>
      </x:c>
      <x:c r="C72" s="39" t="str">
        <x:v>Oprawa LED HIGH BAY NINA 150W 24000lm 4000K neutralna IP65 Kobi KFNA15114</x:v>
      </x:c>
      <x:c r="D72" s="39" t="str">
        <x:v>High Bay</x:v>
      </x:c>
      <x:c r="E72" s="39" t="str">
        <x:v>Stopień odporności [IK]</x:v>
      </x:c>
      <x:c r="F72" s="39" t="str">
        <x:v>Atrybut obowiązkowy</x:v>
      </x:c>
      <x:c r="G72" s="39" t="str">
        <x:v>(puste)</x:v>
      </x:c>
      <x:c r="H72" s="39" t="str">
        <x:v>IK07</x:v>
      </x:c>
      <x:c r="I72" s="39" t="str">
        <x:v>https://b2b.kobi.pl/pl/product/10048%2Chigh-bay-led-nina-150w-4000k-110-kobi-pro</x:v>
      </x:c>
      <x:c r="J72" s="39" t="str">
        <x:v>oficjalna karta rodziny NINA</x:v>
      </x:c>
      <x:c r="K72" s="52" t="n">
        <x:v>0.99</x:v>
      </x:c>
      <x:c r="L72" s="53" t="str">
        <x:v>OK</x:v>
      </x:c>
      <x:c r="M72" s="53" t="str">
        <x:v>NIE</x:v>
      </x:c>
      <x:c r="N72" s="53" t="str">
        <x:v>Worksheet!R19</x:v>
      </x:c>
    </x:row>
    <x:row r="73">
      <x:c r="A73" s="45" t="str">
        <x:v>82176</x:v>
      </x:c>
      <x:c r="B73" s="45" t="str">
        <x:v>001711/KOB</x:v>
      </x:c>
      <x:c r="C73" s="39" t="str">
        <x:v>Oprawa LED HIGH BAY NINA 150W 24000lm 4000K neutralna IP65 Kobi KFNA15114</x:v>
      </x:c>
      <x:c r="D73" s="39" t="str">
        <x:v>High Bay</x:v>
      </x:c>
      <x:c r="E73" s="39" t="str">
        <x:v>Typ produktu</x:v>
      </x:c>
      <x:c r="F73" s="39" t="str">
        <x:v>Atrybut obowiązkowy</x:v>
      </x:c>
      <x:c r="G73" s="39" t="str">
        <x:v>(puste)</x:v>
      </x:c>
      <x:c r="H73" s="39" t="str">
        <x:v>Oprawa High Bay LED</x:v>
      </x:c>
      <x:c r="I73" s="39" t="str">
        <x:v>nazwa produktu w eksporcie WooCommerce</x:v>
      </x:c>
      <x:c r="J73" s="39" t="str">
        <x:v>typ wywnioskowany z nazwy producenta</x:v>
      </x:c>
      <x:c r="K73" s="52" t="n">
        <x:v>0.88</x:v>
      </x:c>
      <x:c r="L73" s="53" t="str">
        <x:v>WARNING</x:v>
      </x:c>
      <x:c r="M73" s="53" t="str">
        <x:v>NIE</x:v>
      </x:c>
      <x:c r="N73" s="53" t="str">
        <x:v>Worksheet!Y19</x:v>
      </x:c>
    </x:row>
    <x:row r="74">
      <x:c r="A74" s="45" t="str">
        <x:v>82177</x:v>
      </x:c>
      <x:c r="B74" s="45" t="str">
        <x:v>001713/KOB</x:v>
      </x:c>
      <x:c r="C74" s="39" t="str">
        <x:v>Oprawa LED HIGH BAY NINA 200W 32000lm 4000K neutralna IP65 Kobi KFNA20114</x:v>
      </x:c>
      <x:c r="D74" s="39" t="str">
        <x:v>High Bay</x:v>
      </x:c>
      <x:c r="E74" s="39" t="str">
        <x:v>Kąt świecenia [°]</x:v>
      </x:c>
      <x:c r="F74" s="39" t="str">
        <x:v>Atrybut dodatkowy potwierdzony</x:v>
      </x:c>
      <x:c r="G74" s="39" t="str">
        <x:v>(puste)</x:v>
      </x:c>
      <x:c r="H74" s="39" t="str">
        <x:v>110</x:v>
      </x:c>
      <x:c r="I74" s="39" t="str">
        <x:v>aktualny XML Kobi</x:v>
      </x:c>
      <x:c r="J74" s="39" t="str">
        <x:v>Kąt świecenia [°]</x:v>
      </x:c>
      <x:c r="K74" s="52" t="n">
        <x:v>0.97</x:v>
      </x:c>
      <x:c r="L74" s="53" t="str">
        <x:v>OK</x:v>
      </x:c>
      <x:c r="M74" s="53" t="str">
        <x:v>NIE</x:v>
      </x:c>
      <x:c r="N74" s="53" t="str">
        <x:v>Worksheet!W20</x:v>
      </x:c>
    </x:row>
    <x:row r="75">
      <x:c r="A75" s="45" t="str">
        <x:v>82177</x:v>
      </x:c>
      <x:c r="B75" s="45" t="str">
        <x:v>001713/KOB</x:v>
      </x:c>
      <x:c r="C75" s="39" t="str">
        <x:v>Oprawa LED HIGH BAY NINA 200W 32000lm 4000K neutralna IP65 Kobi KFNA20114</x:v>
      </x:c>
      <x:c r="D75" s="39" t="str">
        <x:v>High Bay</x:v>
      </x:c>
      <x:c r="E75" s="39" t="str">
        <x:v>Kolor</x:v>
      </x:c>
      <x:c r="F75" s="39" t="str">
        <x:v>Atrybut dodatkowy potwierdzony</x:v>
      </x:c>
      <x:c r="G75" s="39" t="str">
        <x:v>(puste)</x:v>
      </x:c>
      <x:c r="H75" s="39" t="str">
        <x:v>Czarny</x:v>
      </x:c>
      <x:c r="I75" s="39" t="str">
        <x:v>aktualny XML Kobi</x:v>
      </x:c>
      <x:c r="J75" s="39" t="str">
        <x:v>Kolor produktu</x:v>
      </x:c>
      <x:c r="K75" s="52" t="n">
        <x:v>0.97</x:v>
      </x:c>
      <x:c r="L75" s="53" t="str">
        <x:v>OK</x:v>
      </x:c>
      <x:c r="M75" s="53" t="str">
        <x:v>NIE</x:v>
      </x:c>
      <x:c r="N75" s="53" t="str">
        <x:v>Worksheet!T20</x:v>
      </x:c>
    </x:row>
    <x:row r="76">
      <x:c r="A76" s="45" t="str">
        <x:v>82177</x:v>
      </x:c>
      <x:c r="B76" s="45" t="str">
        <x:v>001713/KOB</x:v>
      </x:c>
      <x:c r="C76" s="39" t="str">
        <x:v>Oprawa LED HIGH BAY NINA 200W 32000lm 4000K neutralna IP65 Kobi KFNA20114</x:v>
      </x:c>
      <x:c r="D76" s="39" t="str">
        <x:v>High Bay</x:v>
      </x:c>
      <x:c r="E76" s="39" t="str">
        <x:v>Napięcie [V]</x:v>
      </x:c>
      <x:c r="F76" s="39" t="str">
        <x:v>Atrybut dodatkowy potwierdzony</x:v>
      </x:c>
      <x:c r="G76" s="39" t="str">
        <x:v>(puste)</x:v>
      </x:c>
      <x:c r="H76" s="39" t="str">
        <x:v>230</x:v>
      </x:c>
      <x:c r="I76" s="39" t="str">
        <x:v>aktualny XML Kobi</x:v>
      </x:c>
      <x:c r="J76" s="39" t="str">
        <x:v>Napięcie zasilania</x:v>
      </x:c>
      <x:c r="K76" s="52" t="n">
        <x:v>0.97</x:v>
      </x:c>
      <x:c r="L76" s="53" t="str">
        <x:v>OK</x:v>
      </x:c>
      <x:c r="M76" s="53" t="str">
        <x:v>NIE</x:v>
      </x:c>
      <x:c r="N76" s="53" t="str">
        <x:v>Worksheet!AG20</x:v>
      </x:c>
    </x:row>
    <x:row r="77">
      <x:c r="A77" s="45" t="str">
        <x:v>82177</x:v>
      </x:c>
      <x:c r="B77" s="45" t="str">
        <x:v>001713/KOB</x:v>
      </x:c>
      <x:c r="C77" s="39" t="str">
        <x:v>Oprawa LED HIGH BAY NINA 200W 32000lm 4000K neutralna IP65 Kobi KFNA20114</x:v>
      </x:c>
      <x:c r="D77" s="39" t="str">
        <x:v>High Bay</x:v>
      </x:c>
      <x:c r="E77" s="39" t="str">
        <x:v>Stopień odporności [IK]</x:v>
      </x:c>
      <x:c r="F77" s="39" t="str">
        <x:v>Atrybut obowiązkowy</x:v>
      </x:c>
      <x:c r="G77" s="39" t="str">
        <x:v>(puste)</x:v>
      </x:c>
      <x:c r="H77" s="39" t="str">
        <x:v>IK07</x:v>
      </x:c>
      <x:c r="I77" s="39" t="str">
        <x:v>aktualny XML Kobi</x:v>
      </x:c>
      <x:c r="J77" s="39" t="str">
        <x:v>IK</x:v>
      </x:c>
      <x:c r="K77" s="52" t="n">
        <x:v>0.97</x:v>
      </x:c>
      <x:c r="L77" s="53" t="str">
        <x:v>OK</x:v>
      </x:c>
      <x:c r="M77" s="53" t="str">
        <x:v>NIE</x:v>
      </x:c>
      <x:c r="N77" s="53" t="str">
        <x:v>Worksheet!R20</x:v>
      </x:c>
    </x:row>
    <x:row r="78">
      <x:c r="A78" s="45" t="str">
        <x:v>82177</x:v>
      </x:c>
      <x:c r="B78" s="45" t="str">
        <x:v>001713/KOB</x:v>
      </x:c>
      <x:c r="C78" s="39" t="str">
        <x:v>Oprawa LED HIGH BAY NINA 200W 32000lm 4000K neutralna IP65 Kobi KFNA20114</x:v>
      </x:c>
      <x:c r="D78" s="39" t="str">
        <x:v>High Bay</x:v>
      </x:c>
      <x:c r="E78" s="39" t="str">
        <x:v>Typ produktu</x:v>
      </x:c>
      <x:c r="F78" s="39" t="str">
        <x:v>Atrybut obowiązkowy</x:v>
      </x:c>
      <x:c r="G78" s="39" t="str">
        <x:v>(puste)</x:v>
      </x:c>
      <x:c r="H78" s="39" t="str">
        <x:v>Oprawa High Bay LED</x:v>
      </x:c>
      <x:c r="I78" s="39" t="str">
        <x:v>aktualny XML Kobi</x:v>
      </x:c>
      <x:c r="J78" s="39" t="str">
        <x:v>typ wywnioskowany z nazwy producenta</x:v>
      </x:c>
      <x:c r="K78" s="52" t="n">
        <x:v>0.88</x:v>
      </x:c>
      <x:c r="L78" s="53" t="str">
        <x:v>WARNING</x:v>
      </x:c>
      <x:c r="M78" s="53" t="str">
        <x:v>NIE</x:v>
      </x:c>
      <x:c r="N78" s="53" t="str">
        <x:v>Worksheet!Y20</x:v>
      </x:c>
    </x:row>
    <x:row r="79">
      <x:c r="A79" s="45" t="str">
        <x:v>83856</x:v>
      </x:c>
      <x:c r="B79" s="45" t="str">
        <x:v>001635/KOB</x:v>
      </x:c>
      <x:c r="C79" s="39" t="str">
        <x:v>Naświetlacz SOLARNY LED NCS 10W 6500K zimny LED2B Kobi KFLNCS10ZB</x:v>
      </x:c>
      <x:c r="D79" s="39" t="str">
        <x:v>Naświetlacze LED</x:v>
      </x:c>
      <x:c r="E79" s="39" t="str">
        <x:v>Kąt świecenia [°]</x:v>
      </x:c>
      <x:c r="F79" s="39" t="str">
        <x:v>Atrybut dodatkowy potwierdzony</x:v>
      </x:c>
      <x:c r="G79" s="39" t="str">
        <x:v>(puste)</x:v>
      </x:c>
      <x:c r="H79" s="39" t="str">
        <x:v>100</x:v>
      </x:c>
      <x:c r="I79" s="39" t="str">
        <x:v>aktualny XML Kobi</x:v>
      </x:c>
      <x:c r="J79" s="39" t="str">
        <x:v>Kąt świecenia [°]</x:v>
      </x:c>
      <x:c r="K79" s="52" t="n">
        <x:v>0.97</x:v>
      </x:c>
      <x:c r="L79" s="53" t="str">
        <x:v>OK</x:v>
      </x:c>
      <x:c r="M79" s="53" t="str">
        <x:v>NIE</x:v>
      </x:c>
      <x:c r="N79" s="53" t="str">
        <x:v>Worksheet!W21</x:v>
      </x:c>
    </x:row>
    <x:row r="80">
      <x:c r="A80" s="45" t="str">
        <x:v>83856</x:v>
      </x:c>
      <x:c r="B80" s="45" t="str">
        <x:v>001635/KOB</x:v>
      </x:c>
      <x:c r="C80" s="39" t="str">
        <x:v>Naświetlacz SOLARNY LED NCS 10W 6500K zimny LED2B Kobi KFLNCS10ZB</x:v>
      </x:c>
      <x:c r="D80" s="39" t="str">
        <x:v>Naświetlacze LED</x:v>
      </x:c>
      <x:c r="E80" s="39" t="str">
        <x:v>Napięcie [V]</x:v>
      </x:c>
      <x:c r="F80" s="39" t="str">
        <x:v>Atrybut dodatkowy potwierdzony</x:v>
      </x:c>
      <x:c r="G80" s="39" t="str">
        <x:v>(puste)</x:v>
      </x:c>
      <x:c r="H80" s="39" t="str">
        <x:v>3</x:v>
      </x:c>
      <x:c r="I80" s="39" t="str">
        <x:v>aktualny XML Kobi</x:v>
      </x:c>
      <x:c r="J80" s="39" t="str">
        <x:v>Napięcie zasilania</x:v>
      </x:c>
      <x:c r="K80" s="52" t="n">
        <x:v>0.97</x:v>
      </x:c>
      <x:c r="L80" s="53" t="str">
        <x:v>OK</x:v>
      </x:c>
      <x:c r="M80" s="53" t="str">
        <x:v>NIE</x:v>
      </x:c>
      <x:c r="N80" s="53" t="str">
        <x:v>Worksheet!AG21</x:v>
      </x:c>
    </x:row>
    <x:row r="81">
      <x:c r="A81" s="45" t="str">
        <x:v>83856</x:v>
      </x:c>
      <x:c r="B81" s="45" t="str">
        <x:v>001635/KOB</x:v>
      </x:c>
      <x:c r="C81" s="39" t="str">
        <x:v>Naświetlacz SOLARNY LED NCS 10W 6500K zimny LED2B Kobi KFLNCS10ZB</x:v>
      </x:c>
      <x:c r="D81" s="39" t="str">
        <x:v>Naświetlacze LED</x:v>
      </x:c>
      <x:c r="E81" s="39" t="str">
        <x:v>Typ produktu</x:v>
      </x:c>
      <x:c r="F81" s="39" t="str">
        <x:v>Atrybut obowiązkowy</x:v>
      </x:c>
      <x:c r="G81" s="39" t="str">
        <x:v>(puste)</x:v>
      </x:c>
      <x:c r="H81" s="39" t="str">
        <x:v>Naświetlacz LED</x:v>
      </x:c>
      <x:c r="I81" s="39" t="str">
        <x:v>aktualny XML Kobi</x:v>
      </x:c>
      <x:c r="J81" s="39" t="str">
        <x:v>typ wywnioskowany z nazwy producenta</x:v>
      </x:c>
      <x:c r="K81" s="52" t="n">
        <x:v>0.88</x:v>
      </x:c>
      <x:c r="L81" s="53" t="str">
        <x:v>WARNING</x:v>
      </x:c>
      <x:c r="M81" s="53" t="str">
        <x:v>NIE</x:v>
      </x:c>
      <x:c r="N81" s="53" t="str">
        <x:v>Worksheet!Y21</x:v>
      </x:c>
    </x:row>
    <x:row r="82">
      <x:c r="A82" s="45" t="str">
        <x:v>83856</x:v>
      </x:c>
      <x:c r="B82" s="45" t="str">
        <x:v>001635/KOB</x:v>
      </x:c>
      <x:c r="C82" s="39" t="str">
        <x:v>Naświetlacz SOLARNY LED NCS 10W 6500K zimny LED2B Kobi KFLNCS10ZB</x:v>
      </x:c>
      <x:c r="D82" s="39" t="str">
        <x:v>Naświetlacze LED</x:v>
      </x:c>
      <x:c r="E82" s="39" t="str">
        <x:v>Zasilanie</x:v>
      </x:c>
      <x:c r="F82" s="39" t="str">
        <x:v>Atrybut obowiązkowy</x:v>
      </x:c>
      <x:c r="G82" s="39" t="str">
        <x:v>(puste)</x:v>
      </x:c>
      <x:c r="H82" s="39" t="str">
        <x:v>Solarne</x:v>
      </x:c>
      <x:c r="I82" s="39" t="str">
        <x:v>kategoria + Kobi XML / nazwa produktu</x:v>
      </x:c>
      <x:c r="J82" s="39" t="str">
        <x:v>rodzaj zasilania</x:v>
      </x:c>
      <x:c r="K82" s="52" t="n">
        <x:v>0.96</x:v>
      </x:c>
      <x:c r="L82" s="53" t="str">
        <x:v>OK</x:v>
      </x:c>
      <x:c r="M82" s="53" t="str">
        <x:v>NIE</x:v>
      </x:c>
      <x:c r="N82" s="53" t="str">
        <x:v>Worksheet!S21</x:v>
      </x:c>
    </x:row>
    <x:row r="83">
      <x:c r="A83" s="45" t="str">
        <x:v>83857</x:v>
      </x:c>
      <x:c r="B83" s="45" t="str">
        <x:v>001636/KOB</x:v>
      </x:c>
      <x:c r="C83" s="39" t="str">
        <x:v>Naświetlacz SOLARNY LED NCS 20W 6500K zimny LED2B Kobi KFLNCS20ZB</x:v>
      </x:c>
      <x:c r="D83" s="39" t="str">
        <x:v>Naświetlacze LED</x:v>
      </x:c>
      <x:c r="E83" s="39" t="str">
        <x:v>Kąt świecenia [°]</x:v>
      </x:c>
      <x:c r="F83" s="39" t="str">
        <x:v>Atrybut dodatkowy potwierdzony</x:v>
      </x:c>
      <x:c r="G83" s="39" t="str">
        <x:v>(puste)</x:v>
      </x:c>
      <x:c r="H83" s="39" t="str">
        <x:v>100</x:v>
      </x:c>
      <x:c r="I83" s="39" t="str">
        <x:v>aktualny XML Kobi</x:v>
      </x:c>
      <x:c r="J83" s="39" t="str">
        <x:v>Kąt świecenia [°]</x:v>
      </x:c>
      <x:c r="K83" s="52" t="n">
        <x:v>0.97</x:v>
      </x:c>
      <x:c r="L83" s="53" t="str">
        <x:v>OK</x:v>
      </x:c>
      <x:c r="M83" s="53" t="str">
        <x:v>NIE</x:v>
      </x:c>
      <x:c r="N83" s="53" t="str">
        <x:v>Worksheet!W22</x:v>
      </x:c>
    </x:row>
    <x:row r="84">
      <x:c r="A84" s="45" t="str">
        <x:v>83857</x:v>
      </x:c>
      <x:c r="B84" s="45" t="str">
        <x:v>001636/KOB</x:v>
      </x:c>
      <x:c r="C84" s="39" t="str">
        <x:v>Naświetlacz SOLARNY LED NCS 20W 6500K zimny LED2B Kobi KFLNCS20ZB</x:v>
      </x:c>
      <x:c r="D84" s="39" t="str">
        <x:v>Naświetlacze LED</x:v>
      </x:c>
      <x:c r="E84" s="39" t="str">
        <x:v>Napięcie [V]</x:v>
      </x:c>
      <x:c r="F84" s="39" t="str">
        <x:v>Atrybut dodatkowy potwierdzony</x:v>
      </x:c>
      <x:c r="G84" s="39" t="str">
        <x:v>(puste)</x:v>
      </x:c>
      <x:c r="H84" s="39" t="str">
        <x:v>3</x:v>
      </x:c>
      <x:c r="I84" s="39" t="str">
        <x:v>aktualny XML Kobi</x:v>
      </x:c>
      <x:c r="J84" s="39" t="str">
        <x:v>Napięcie zasilania</x:v>
      </x:c>
      <x:c r="K84" s="52" t="n">
        <x:v>0.97</x:v>
      </x:c>
      <x:c r="L84" s="53" t="str">
        <x:v>OK</x:v>
      </x:c>
      <x:c r="M84" s="53" t="str">
        <x:v>NIE</x:v>
      </x:c>
      <x:c r="N84" s="53" t="str">
        <x:v>Worksheet!AG22</x:v>
      </x:c>
    </x:row>
    <x:row r="85">
      <x:c r="A85" s="45" t="str">
        <x:v>83857</x:v>
      </x:c>
      <x:c r="B85" s="45" t="str">
        <x:v>001636/KOB</x:v>
      </x:c>
      <x:c r="C85" s="39" t="str">
        <x:v>Naświetlacz SOLARNY LED NCS 20W 6500K zimny LED2B Kobi KFLNCS20ZB</x:v>
      </x:c>
      <x:c r="D85" s="39" t="str">
        <x:v>Naświetlacze LED</x:v>
      </x:c>
      <x:c r="E85" s="39" t="str">
        <x:v>Typ produktu</x:v>
      </x:c>
      <x:c r="F85" s="39" t="str">
        <x:v>Atrybut obowiązkowy</x:v>
      </x:c>
      <x:c r="G85" s="39" t="str">
        <x:v>(puste)</x:v>
      </x:c>
      <x:c r="H85" s="39" t="str">
        <x:v>Naświetlacz LED</x:v>
      </x:c>
      <x:c r="I85" s="39" t="str">
        <x:v>aktualny XML Kobi</x:v>
      </x:c>
      <x:c r="J85" s="39" t="str">
        <x:v>typ wywnioskowany z nazwy producenta</x:v>
      </x:c>
      <x:c r="K85" s="52" t="n">
        <x:v>0.88</x:v>
      </x:c>
      <x:c r="L85" s="53" t="str">
        <x:v>WARNING</x:v>
      </x:c>
      <x:c r="M85" s="53" t="str">
        <x:v>NIE</x:v>
      </x:c>
      <x:c r="N85" s="53" t="str">
        <x:v>Worksheet!Y22</x:v>
      </x:c>
    </x:row>
    <x:row r="86">
      <x:c r="A86" s="45" t="str">
        <x:v>83857</x:v>
      </x:c>
      <x:c r="B86" s="45" t="str">
        <x:v>001636/KOB</x:v>
      </x:c>
      <x:c r="C86" s="39" t="str">
        <x:v>Naświetlacz SOLARNY LED NCS 20W 6500K zimny LED2B Kobi KFLNCS20ZB</x:v>
      </x:c>
      <x:c r="D86" s="39" t="str">
        <x:v>Naświetlacze LED</x:v>
      </x:c>
      <x:c r="E86" s="39" t="str">
        <x:v>Zasilanie</x:v>
      </x:c>
      <x:c r="F86" s="39" t="str">
        <x:v>Atrybut obowiązkowy</x:v>
      </x:c>
      <x:c r="G86" s="39" t="str">
        <x:v>(puste)</x:v>
      </x:c>
      <x:c r="H86" s="39" t="str">
        <x:v>Solarne</x:v>
      </x:c>
      <x:c r="I86" s="39" t="str">
        <x:v>kategoria + Kobi XML / nazwa produktu</x:v>
      </x:c>
      <x:c r="J86" s="39" t="str">
        <x:v>rodzaj zasilania</x:v>
      </x:c>
      <x:c r="K86" s="52" t="n">
        <x:v>0.96</x:v>
      </x:c>
      <x:c r="L86" s="53" t="str">
        <x:v>OK</x:v>
      </x:c>
      <x:c r="M86" s="53" t="str">
        <x:v>NIE</x:v>
      </x:c>
      <x:c r="N86" s="53" t="str">
        <x:v>Worksheet!S22</x:v>
      </x:c>
    </x:row>
    <x:row r="87">
      <x:c r="A87" s="45" t="str">
        <x:v>86192</x:v>
      </x:c>
      <x:c r="B87" s="45" t="str">
        <x:v>002095/KOB</x:v>
      </x:c>
      <x:c r="C87" s="39" t="str">
        <x:v>Oprawa tuba ruchoma do nadbudowania OH36S biała KPOH36SBI</x:v>
      </x:c>
      <x:c r="D87" s="39" t="str">
        <x:v>Oprawy natynkowe</x:v>
      </x:c>
      <x:c r="E87" s="39" t="str">
        <x:v>Kolor</x:v>
      </x:c>
      <x:c r="F87" s="39" t="str">
        <x:v>Atrybut obowiązkowy</x:v>
      </x:c>
      <x:c r="G87" s="39" t="str">
        <x:v>(puste)</x:v>
      </x:c>
      <x:c r="H87" s="39" t="str">
        <x:v>Biały</x:v>
      </x:c>
      <x:c r="I87" s="39" t="str">
        <x:v>aktualny XML Kobi</x:v>
      </x:c>
      <x:c r="J87" s="39" t="str">
        <x:v>Kolor produktu</x:v>
      </x:c>
      <x:c r="K87" s="52" t="n">
        <x:v>0.97</x:v>
      </x:c>
      <x:c r="L87" s="53" t="str">
        <x:v>OK</x:v>
      </x:c>
      <x:c r="M87" s="53" t="str">
        <x:v>NIE</x:v>
      </x:c>
      <x:c r="N87" s="53" t="str">
        <x:v>Worksheet!T23</x:v>
      </x:c>
    </x:row>
    <x:row r="88">
      <x:c r="A88" s="45" t="str">
        <x:v>86192</x:v>
      </x:c>
      <x:c r="B88" s="45" t="str">
        <x:v>002095/KOB</x:v>
      </x:c>
      <x:c r="C88" s="39" t="str">
        <x:v>Oprawa tuba ruchoma do nadbudowania OH36S biała KPOH36SBI</x:v>
      </x:c>
      <x:c r="D88" s="39" t="str">
        <x:v>Oprawy natynkowe</x:v>
      </x:c>
      <x:c r="E88" s="39" t="str">
        <x:v>Napięcie [V]</x:v>
      </x:c>
      <x:c r="F88" s="39" t="str">
        <x:v>Atrybut dodatkowy potwierdzony</x:v>
      </x:c>
      <x:c r="G88" s="39" t="str">
        <x:v>(puste)</x:v>
      </x:c>
      <x:c r="H88" s="39" t="str">
        <x:v>230</x:v>
      </x:c>
      <x:c r="I88" s="39" t="str">
        <x:v>aktualny XML Kobi</x:v>
      </x:c>
      <x:c r="J88" s="39" t="str">
        <x:v>Napięcie zasilania</x:v>
      </x:c>
      <x:c r="K88" s="52" t="n">
        <x:v>0.97</x:v>
      </x:c>
      <x:c r="L88" s="53" t="str">
        <x:v>OK</x:v>
      </x:c>
      <x:c r="M88" s="53" t="str">
        <x:v>NIE</x:v>
      </x:c>
      <x:c r="N88" s="53" t="str">
        <x:v>Worksheet!AG23</x:v>
      </x:c>
    </x:row>
    <x:row r="89">
      <x:c r="A89" s="45" t="str">
        <x:v>86192</x:v>
      </x:c>
      <x:c r="B89" s="45" t="str">
        <x:v>002095/KOB</x:v>
      </x:c>
      <x:c r="C89" s="39" t="str">
        <x:v>Oprawa tuba ruchoma do nadbudowania OH36S biała KPOH36SBI</x:v>
      </x:c>
      <x:c r="D89" s="39" t="str">
        <x:v>Oprawy natynkowe</x:v>
      </x:c>
      <x:c r="E89" s="39" t="str">
        <x:v>Sposób montażu</x:v>
      </x:c>
      <x:c r="F89" s="39" t="str">
        <x:v>Atrybut obowiązkowy</x:v>
      </x:c>
      <x:c r="G89" s="39" t="str">
        <x:v>(puste)</x:v>
      </x:c>
      <x:c r="H89" s="39" t="str">
        <x:v>Natynkowy</x:v>
      </x:c>
      <x:c r="I89" s="39" t="str">
        <x:v>nazwa produktu w eksporcie WooCommerce</x:v>
      </x:c>
      <x:c r="J89" s="39" t="str">
        <x:v>kategoria produktu</x:v>
      </x:c>
      <x:c r="K89" s="52" t="n">
        <x:v>0.94</x:v>
      </x:c>
      <x:c r="L89" s="53" t="str">
        <x:v>OK</x:v>
      </x:c>
      <x:c r="M89" s="53" t="str">
        <x:v>NIE</x:v>
      </x:c>
      <x:c r="N89" s="53" t="str">
        <x:v>Worksheet!AM23</x:v>
      </x:c>
    </x:row>
    <x:row r="90">
      <x:c r="A90" s="45" t="str">
        <x:v>86192</x:v>
      </x:c>
      <x:c r="B90" s="45" t="str">
        <x:v>002095/KOB</x:v>
      </x:c>
      <x:c r="C90" s="39" t="str">
        <x:v>Oprawa tuba ruchoma do nadbudowania OH36S biała KPOH36SBI</x:v>
      </x:c>
      <x:c r="D90" s="39" t="str">
        <x:v>Oprawy natynkowe</x:v>
      </x:c>
      <x:c r="E90" s="39" t="str">
        <x:v>Stopień ochrony [IP]</x:v>
      </x:c>
      <x:c r="F90" s="39" t="str">
        <x:v>Atrybut obowiązkowy</x:v>
      </x:c>
      <x:c r="G90" s="39" t="str">
        <x:v>(puste)</x:v>
      </x:c>
      <x:c r="H90" s="39" t="str">
        <x:v>IP 20</x:v>
      </x:c>
      <x:c r="I90" s="39" t="str">
        <x:v>aktualny XML Kobi</x:v>
      </x:c>
      <x:c r="J90" s="39" t="str">
        <x:v>IP</x:v>
      </x:c>
      <x:c r="K90" s="52" t="n">
        <x:v>0.97</x:v>
      </x:c>
      <x:c r="L90" s="53" t="str">
        <x:v>OK</x:v>
      </x:c>
      <x:c r="M90" s="53" t="str">
        <x:v>NIE</x:v>
      </x:c>
      <x:c r="N90" s="53" t="str">
        <x:v>Worksheet!Q23</x:v>
      </x:c>
    </x:row>
    <x:row r="91">
      <x:c r="A91" s="45" t="str">
        <x:v>99579</x:v>
      </x:c>
      <x:c r="B91" s="45" t="str">
        <x:v>002223/KOB</x:v>
      </x:c>
      <x:c r="C91" s="39" t="str">
        <x:v>Oprawa ogrodowa kinkiet elewacyjny ENTERA 10W 4000K IP54 KTEACZ</x:v>
      </x:c>
      <x:c r="D91" s="39" t="str">
        <x:v>Lampy elewacyjne, kinkiety zewnętrzne</x:v>
      </x:c>
      <x:c r="E91" s="39" t="str">
        <x:v>Czujnik ruchu</x:v>
      </x:c>
      <x:c r="F91" s="39" t="str">
        <x:v>Atrybut obowiązkowy</x:v>
      </x:c>
      <x:c r="G91" s="39" t="str">
        <x:v>(puste)</x:v>
      </x:c>
      <x:c r="H91" s="39" t="str">
        <x:v>Nie</x:v>
      </x:c>
      <x:c r="I91" s="39" t="str">
        <x:v>Kobi XML + nazwa produktu</x:v>
      </x:c>
      <x:c r="J91" s="39" t="str">
        <x:v>Typ czujnika / nazwa</x:v>
      </x:c>
      <x:c r="K91" s="52" t="n">
        <x:v>0.9</x:v>
      </x:c>
      <x:c r="L91" s="53" t="str">
        <x:v>OK</x:v>
      </x:c>
      <x:c r="M91" s="53" t="str">
        <x:v>NIE</x:v>
      </x:c>
      <x:c r="N91" s="53" t="str">
        <x:v>Worksheet!X24</x:v>
      </x:c>
    </x:row>
    <x:row r="92">
      <x:c r="A92" s="45" t="str">
        <x:v>99579</x:v>
      </x:c>
      <x:c r="B92" s="45" t="str">
        <x:v>002223/KOB</x:v>
      </x:c>
      <x:c r="C92" s="39" t="str">
        <x:v>Oprawa ogrodowa kinkiet elewacyjny ENTERA 10W 4000K IP54 KTEACZ</x:v>
      </x:c>
      <x:c r="D92" s="39" t="str">
        <x:v>Lampy elewacyjne, kinkiety zewnętrzne</x:v>
      </x:c>
      <x:c r="E92" s="39" t="str">
        <x:v>Liczba źródeł światła</x:v>
      </x:c>
      <x:c r="F92" s="39" t="str">
        <x:v>Atrybut obowiązkowy</x:v>
      </x:c>
      <x:c r="G92" s="39" t="str">
        <x:v>(puste)</x:v>
      </x:c>
      <x:c r="H92" s="39" t="str">
        <x:v>1</x:v>
      </x:c>
      <x:c r="I92" s="39" t="str">
        <x:v>nazwa produktu w eksporcie WooCommerce</x:v>
      </x:c>
      <x:c r="J92" s="39" t="str">
        <x:v>liczba źródeł w nazwie / konstrukcja oprawy</x:v>
      </x:c>
      <x:c r="K92" s="52" t="n">
        <x:v>0.94</x:v>
      </x:c>
      <x:c r="L92" s="53" t="str">
        <x:v>WARNING</x:v>
      </x:c>
      <x:c r="M92" s="53" t="str">
        <x:v>NIE</x:v>
      </x:c>
      <x:c r="N92" s="53" t="str">
        <x:v>Worksheet!AK24</x:v>
      </x:c>
    </x:row>
    <x:row r="93">
      <x:c r="A93" s="45" t="str">
        <x:v>99579</x:v>
      </x:c>
      <x:c r="B93" s="45" t="str">
        <x:v>002223/KOB</x:v>
      </x:c>
      <x:c r="C93" s="39" t="str">
        <x:v>Oprawa ogrodowa kinkiet elewacyjny ENTERA 10W 4000K IP54 KTEACZ</x:v>
      </x:c>
      <x:c r="D93" s="39" t="str">
        <x:v>Lampy elewacyjne, kinkiety zewnętrzne</x:v>
      </x:c>
      <x:c r="E93" s="39" t="str">
        <x:v>Moc [W]</x:v>
      </x:c>
      <x:c r="F93" s="39" t="str">
        <x:v>Atrybut dodatkowy potwierdzony</x:v>
      </x:c>
      <x:c r="G93" s="39" t="str">
        <x:v>(puste)</x:v>
      </x:c>
      <x:c r="H93" s="39" t="str">
        <x:v>10</x:v>
      </x:c>
      <x:c r="I93" s="39" t="str">
        <x:v>archiwalny XML Kobi</x:v>
      </x:c>
      <x:c r="J93" s="39" t="str">
        <x:v>Moc [W]</x:v>
      </x:c>
      <x:c r="K93" s="52" t="n">
        <x:v>0.9</x:v>
      </x:c>
      <x:c r="L93" s="53" t="str">
        <x:v>WARNING</x:v>
      </x:c>
      <x:c r="M93" s="53" t="str">
        <x:v>NIE</x:v>
      </x:c>
      <x:c r="N93" s="53" t="str">
        <x:v>Worksheet!M24</x:v>
      </x:c>
    </x:row>
    <x:row r="94">
      <x:c r="A94" s="45" t="str">
        <x:v>99579</x:v>
      </x:c>
      <x:c r="B94" s="45" t="str">
        <x:v>002223/KOB</x:v>
      </x:c>
      <x:c r="C94" s="39" t="str">
        <x:v>Oprawa ogrodowa kinkiet elewacyjny ENTERA 10W 4000K IP54 KTEACZ</x:v>
      </x:c>
      <x:c r="D94" s="39" t="str">
        <x:v>Lampy elewacyjne, kinkiety zewnętrzne</x:v>
      </x:c>
      <x:c r="E94" s="39" t="str">
        <x:v>Stopień ochrony [IP]</x:v>
      </x:c>
      <x:c r="F94" s="39" t="str">
        <x:v>Atrybut obowiązkowy</x:v>
      </x:c>
      <x:c r="G94" s="39" t="str">
        <x:v>(puste)</x:v>
      </x:c>
      <x:c r="H94" s="39" t="str">
        <x:v>IP 54</x:v>
      </x:c>
      <x:c r="I94" s="39" t="str">
        <x:v>nazwa produktu w eksporcie WooCommerce</x:v>
      </x:c>
      <x:c r="J94" s="39" t="str">
        <x:v>IP w nazwie</x:v>
      </x:c>
      <x:c r="K94" s="52" t="n">
        <x:v>0.97</x:v>
      </x:c>
      <x:c r="L94" s="53" t="str">
        <x:v>OK</x:v>
      </x:c>
      <x:c r="M94" s="53" t="str">
        <x:v>NIE</x:v>
      </x:c>
      <x:c r="N94" s="53" t="str">
        <x:v>Worksheet!Q24</x:v>
      </x:c>
    </x:row>
    <x:row r="95">
      <x:c r="A95" s="45" t="str">
        <x:v>99579</x:v>
      </x:c>
      <x:c r="B95" s="45" t="str">
        <x:v>002223/KOB</x:v>
      </x:c>
      <x:c r="C95" s="39" t="str">
        <x:v>Oprawa ogrodowa kinkiet elewacyjny ENTERA 10W 4000K IP54 KTEACZ</x:v>
      </x:c>
      <x:c r="D95" s="39" t="str">
        <x:v>Lampy elewacyjne, kinkiety zewnętrzne</x:v>
      </x:c>
      <x:c r="E95" s="39" t="str">
        <x:v>Źródło światła</x:v>
      </x:c>
      <x:c r="F95" s="39" t="str">
        <x:v>Atrybut obowiązkowy</x:v>
      </x:c>
      <x:c r="G95" s="39" t="str">
        <x:v>(puste)</x:v>
      </x:c>
      <x:c r="H95" s="39" t="str">
        <x:v>Zintegrowane</x:v>
      </x:c>
      <x:c r="I95" s="39" t="str">
        <x:v>Kobi XML + nazwa produktu</x:v>
      </x:c>
      <x:c r="J95" s="39" t="str">
        <x:v>LED w konstrukcji oprawy</x:v>
      </x:c>
      <x:c r="K95" s="52" t="n">
        <x:v>0.9</x:v>
      </x:c>
      <x:c r="L95" s="53" t="str">
        <x:v>OK</x:v>
      </x:c>
      <x:c r="M95" s="53" t="str">
        <x:v>NIE</x:v>
      </x:c>
      <x:c r="N95" s="53" t="str">
        <x:v>Worksheet!AL24</x:v>
      </x:c>
    </x:row>
    <x:row r="96">
      <x:c r="A96" s="45" t="str">
        <x:v>99580</x:v>
      </x:c>
      <x:c r="B96" s="45" t="str">
        <x:v>002224/KOB</x:v>
      </x:c>
      <x:c r="C96" s="39" t="str">
        <x:v>Oprawa ogrodowa kinkiet elewacyjny ENTERA P 10W 4000K IP54 KOBI KTEAPCZ</x:v>
      </x:c>
      <x:c r="D96" s="39" t="str">
        <x:v>Lampy elewacyjne, kinkiety zewnętrzne</x:v>
      </x:c>
      <x:c r="E96" s="39" t="str">
        <x:v>Czujnik ruchu</x:v>
      </x:c>
      <x:c r="F96" s="39" t="str">
        <x:v>Atrybut obowiązkowy</x:v>
      </x:c>
      <x:c r="G96" s="39" t="str">
        <x:v>(puste)</x:v>
      </x:c>
      <x:c r="H96" s="39" t="str">
        <x:v>Nie</x:v>
      </x:c>
      <x:c r="I96" s="39" t="str">
        <x:v>Kobi XML + nazwa produktu</x:v>
      </x:c>
      <x:c r="J96" s="39" t="str">
        <x:v>Typ czujnika / nazwa</x:v>
      </x:c>
      <x:c r="K96" s="52" t="n">
        <x:v>0.98</x:v>
      </x:c>
      <x:c r="L96" s="53" t="str">
        <x:v>OK</x:v>
      </x:c>
      <x:c r="M96" s="53" t="str">
        <x:v>NIE</x:v>
      </x:c>
      <x:c r="N96" s="53" t="str">
        <x:v>Worksheet!X25</x:v>
      </x:c>
    </x:row>
    <x:row r="97">
      <x:c r="A97" s="45" t="str">
        <x:v>99580</x:v>
      </x:c>
      <x:c r="B97" s="45" t="str">
        <x:v>002224/KOB</x:v>
      </x:c>
      <x:c r="C97" s="39" t="str">
        <x:v>Oprawa ogrodowa kinkiet elewacyjny ENTERA P 10W 4000K IP54 KOBI KTEAPCZ</x:v>
      </x:c>
      <x:c r="D97" s="39" t="str">
        <x:v>Lampy elewacyjne, kinkiety zewnętrzne</x:v>
      </x:c>
      <x:c r="E97" s="39" t="str">
        <x:v>Liczba źródeł światła</x:v>
      </x:c>
      <x:c r="F97" s="39" t="str">
        <x:v>Atrybut obowiązkowy</x:v>
      </x:c>
      <x:c r="G97" s="39" t="str">
        <x:v>(puste)</x:v>
      </x:c>
      <x:c r="H97" s="39" t="str">
        <x:v>1</x:v>
      </x:c>
      <x:c r="I97" s="39" t="str">
        <x:v>nazwa produktu w eksporcie WooCommerce</x:v>
      </x:c>
      <x:c r="J97" s="39" t="str">
        <x:v>liczba źródeł w nazwie / konstrukcja oprawy</x:v>
      </x:c>
      <x:c r="K97" s="52" t="n">
        <x:v>0.94</x:v>
      </x:c>
      <x:c r="L97" s="53" t="str">
        <x:v>WARNING</x:v>
      </x:c>
      <x:c r="M97" s="53" t="str">
        <x:v>NIE</x:v>
      </x:c>
      <x:c r="N97" s="53" t="str">
        <x:v>Worksheet!AK25</x:v>
      </x:c>
    </x:row>
    <x:row r="98">
      <x:c r="A98" s="45" t="str">
        <x:v>99580</x:v>
      </x:c>
      <x:c r="B98" s="45" t="str">
        <x:v>002224/KOB</x:v>
      </x:c>
      <x:c r="C98" s="39" t="str">
        <x:v>Oprawa ogrodowa kinkiet elewacyjny ENTERA P 10W 4000K IP54 KOBI KTEAPCZ</x:v>
      </x:c>
      <x:c r="D98" s="39" t="str">
        <x:v>Lampy elewacyjne, kinkiety zewnętrzne</x:v>
      </x:c>
      <x:c r="E98" s="39" t="str">
        <x:v>Moc [W]</x:v>
      </x:c>
      <x:c r="F98" s="39" t="str">
        <x:v>Atrybut dodatkowy potwierdzony</x:v>
      </x:c>
      <x:c r="G98" s="39" t="str">
        <x:v>(puste)</x:v>
      </x:c>
      <x:c r="H98" s="39" t="str">
        <x:v>10</x:v>
      </x:c>
      <x:c r="I98" s="39" t="str">
        <x:v>aktualny XML Kobi</x:v>
      </x:c>
      <x:c r="J98" s="39" t="str">
        <x:v>Moc [W]</x:v>
      </x:c>
      <x:c r="K98" s="52" t="n">
        <x:v>0.97</x:v>
      </x:c>
      <x:c r="L98" s="53" t="str">
        <x:v>OK</x:v>
      </x:c>
      <x:c r="M98" s="53" t="str">
        <x:v>NIE</x:v>
      </x:c>
      <x:c r="N98" s="53" t="str">
        <x:v>Worksheet!M25</x:v>
      </x:c>
    </x:row>
    <x:row r="99">
      <x:c r="A99" s="45" t="str">
        <x:v>99580</x:v>
      </x:c>
      <x:c r="B99" s="45" t="str">
        <x:v>002224/KOB</x:v>
      </x:c>
      <x:c r="C99" s="39" t="str">
        <x:v>Oprawa ogrodowa kinkiet elewacyjny ENTERA P 10W 4000K IP54 KOBI KTEAPCZ</x:v>
      </x:c>
      <x:c r="D99" s="39" t="str">
        <x:v>Lampy elewacyjne, kinkiety zewnętrzne</x:v>
      </x:c>
      <x:c r="E99" s="39" t="str">
        <x:v>Stopień ochrony [IP]</x:v>
      </x:c>
      <x:c r="F99" s="39" t="str">
        <x:v>Atrybut obowiązkowy</x:v>
      </x:c>
      <x:c r="G99" s="39" t="str">
        <x:v>(puste)</x:v>
      </x:c>
      <x:c r="H99" s="39" t="str">
        <x:v>IP 54</x:v>
      </x:c>
      <x:c r="I99" s="39" t="str">
        <x:v>nazwa produktu w eksporcie WooCommerce</x:v>
      </x:c>
      <x:c r="J99" s="39" t="str">
        <x:v>IP w nazwie</x:v>
      </x:c>
      <x:c r="K99" s="52" t="n">
        <x:v>0.97</x:v>
      </x:c>
      <x:c r="L99" s="53" t="str">
        <x:v>OK</x:v>
      </x:c>
      <x:c r="M99" s="53" t="str">
        <x:v>NIE</x:v>
      </x:c>
      <x:c r="N99" s="53" t="str">
        <x:v>Worksheet!Q25</x:v>
      </x:c>
    </x:row>
    <x:row r="100">
      <x:c r="A100" s="45" t="str">
        <x:v>99580</x:v>
      </x:c>
      <x:c r="B100" s="45" t="str">
        <x:v>002224/KOB</x:v>
      </x:c>
      <x:c r="C100" s="39" t="str">
        <x:v>Oprawa ogrodowa kinkiet elewacyjny ENTERA P 10W 4000K IP54 KOBI KTEAPCZ</x:v>
      </x:c>
      <x:c r="D100" s="39" t="str">
        <x:v>Lampy elewacyjne, kinkiety zewnętrzne</x:v>
      </x:c>
      <x:c r="E100" s="39" t="str">
        <x:v>Źródło światła</x:v>
      </x:c>
      <x:c r="F100" s="39" t="str">
        <x:v>Atrybut obowiązkowy</x:v>
      </x:c>
      <x:c r="G100" s="39" t="str">
        <x:v>(puste)</x:v>
      </x:c>
      <x:c r="H100" s="39" t="str">
        <x:v>Zintegrowane</x:v>
      </x:c>
      <x:c r="I100" s="39" t="str">
        <x:v>Kobi XML + nazwa produktu</x:v>
      </x:c>
      <x:c r="J100" s="39" t="str">
        <x:v>LED w konstrukcji oprawy</x:v>
      </x:c>
      <x:c r="K100" s="52" t="n">
        <x:v>0.96</x:v>
      </x:c>
      <x:c r="L100" s="53" t="str">
        <x:v>OK</x:v>
      </x:c>
      <x:c r="M100" s="53" t="str">
        <x:v>NIE</x:v>
      </x:c>
      <x:c r="N100" s="53" t="str">
        <x:v>Worksheet!AL25</x:v>
      </x:c>
    </x:row>
    <x:row r="101">
      <x:c r="A101" s="45" t="str">
        <x:v>100654</x:v>
      </x:c>
      <x:c r="B101" s="45" t="str">
        <x:v>001881/KOB</x:v>
      </x:c>
      <x:c r="C101" s="39" t="str">
        <x:v>Oprawa uliczna LED VESPA PRO 40W 4000K neutralna 5600 lm KOBI KFVP40NBAS</x:v>
      </x:c>
      <x:c r="D101" s="39" t="str">
        <x:v>Lampy uliczne</x:v>
      </x:c>
      <x:c r="E101" s="39" t="str">
        <x:v>Napięcie [V]</x:v>
      </x:c>
      <x:c r="F101" s="39" t="str">
        <x:v>Atrybut dodatkowy potwierdzony</x:v>
      </x:c>
      <x:c r="G101" s="39" t="str">
        <x:v>(puste)</x:v>
      </x:c>
      <x:c r="H101" s="39" t="str">
        <x:v>230</x:v>
      </x:c>
      <x:c r="I101" s="39" t="str">
        <x:v>aktualny XML Kobi</x:v>
      </x:c>
      <x:c r="J101" s="39" t="str">
        <x:v>Napięcie zasilania</x:v>
      </x:c>
      <x:c r="K101" s="52" t="n">
        <x:v>0.97</x:v>
      </x:c>
      <x:c r="L101" s="53" t="str">
        <x:v>OK</x:v>
      </x:c>
      <x:c r="M101" s="53" t="str">
        <x:v>NIE</x:v>
      </x:c>
      <x:c r="N101" s="53" t="str">
        <x:v>Worksheet!AG26</x:v>
      </x:c>
    </x:row>
    <x:row r="102">
      <x:c r="A102" s="45" t="str">
        <x:v>100654</x:v>
      </x:c>
      <x:c r="B102" s="45" t="str">
        <x:v>001881/KOB</x:v>
      </x:c>
      <x:c r="C102" s="39" t="str">
        <x:v>Oprawa uliczna LED VESPA PRO 40W 4000K neutralna 5600 lm KOBI KFVP40NBAS</x:v>
      </x:c>
      <x:c r="D102" s="39" t="str">
        <x:v>Lampy uliczne</x:v>
      </x:c>
      <x:c r="E102" s="39" t="str">
        <x:v>Typ produktu</x:v>
      </x:c>
      <x:c r="F102" s="39" t="str">
        <x:v>Atrybut obowiązkowy</x:v>
      </x:c>
      <x:c r="G102" s="39" t="str">
        <x:v>(puste)</x:v>
      </x:c>
      <x:c r="H102" s="39" t="str">
        <x:v>Oprawa drogowa LED</x:v>
      </x:c>
      <x:c r="I102" s="39" t="str">
        <x:v>aktualny XML Kobi</x:v>
      </x:c>
      <x:c r="J102" s="39" t="str">
        <x:v>typ wywnioskowany z nazwy producenta</x:v>
      </x:c>
      <x:c r="K102" s="52" t="n">
        <x:v>0.88</x:v>
      </x:c>
      <x:c r="L102" s="53" t="str">
        <x:v>WARNING</x:v>
      </x:c>
      <x:c r="M102" s="53" t="str">
        <x:v>NIE</x:v>
      </x:c>
      <x:c r="N102" s="53" t="str">
        <x:v>Worksheet!Y26</x:v>
      </x:c>
    </x:row>
    <x:row r="103">
      <x:c r="A103" s="45" t="str">
        <x:v>100654</x:v>
      </x:c>
      <x:c r="B103" s="45" t="str">
        <x:v>001881/KOB</x:v>
      </x:c>
      <x:c r="C103" s="39" t="str">
        <x:v>Oprawa uliczna LED VESPA PRO 40W 4000K neutralna 5600 lm KOBI KFVP40NBAS</x:v>
      </x:c>
      <x:c r="D103" s="39" t="str">
        <x:v>Lampy uliczne</x:v>
      </x:c>
      <x:c r="E103" s="39" t="str">
        <x:v>Zasilanie</x:v>
      </x:c>
      <x:c r="F103" s="39" t="str">
        <x:v>Atrybut obowiązkowy</x:v>
      </x:c>
      <x:c r="G103" s="39" t="str">
        <x:v>(puste)</x:v>
      </x:c>
      <x:c r="H103" s="39" t="str">
        <x:v>Sieciowe</x:v>
      </x:c>
      <x:c r="I103" s="39" t="str">
        <x:v>kategoria + Kobi XML / nazwa produktu</x:v>
      </x:c>
      <x:c r="J103" s="39" t="str">
        <x:v>rodzaj zasilania</x:v>
      </x:c>
      <x:c r="K103" s="52" t="n">
        <x:v>0.96</x:v>
      </x:c>
      <x:c r="L103" s="53" t="str">
        <x:v>OK</x:v>
      </x:c>
      <x:c r="M103" s="53" t="str">
        <x:v>NIE</x:v>
      </x:c>
      <x:c r="N103" s="53" t="str">
        <x:v>Worksheet!S26</x:v>
      </x:c>
    </x:row>
    <x:row r="104">
      <x:c r="A104" s="45" t="str">
        <x:v>100655</x:v>
      </x:c>
      <x:c r="B104" s="45" t="str">
        <x:v>001882/KOB</x:v>
      </x:c>
      <x:c r="C104" s="39" t="str">
        <x:v>Oprawa uliczna LED VESPA PRO 60W 4000K neutralna 8400lm KOBI KFVP60NBAS</x:v>
      </x:c>
      <x:c r="D104" s="39" t="str">
        <x:v>Lampy uliczne</x:v>
      </x:c>
      <x:c r="E104" s="39" t="str">
        <x:v>Napięcie [V]</x:v>
      </x:c>
      <x:c r="F104" s="39" t="str">
        <x:v>Atrybut dodatkowy potwierdzony</x:v>
      </x:c>
      <x:c r="G104" s="39" t="str">
        <x:v>(puste)</x:v>
      </x:c>
      <x:c r="H104" s="39" t="str">
        <x:v>230</x:v>
      </x:c>
      <x:c r="I104" s="39" t="str">
        <x:v>aktualny XML Kobi</x:v>
      </x:c>
      <x:c r="J104" s="39" t="str">
        <x:v>Napięcie zasilania</x:v>
      </x:c>
      <x:c r="K104" s="52" t="n">
        <x:v>0.97</x:v>
      </x:c>
      <x:c r="L104" s="53" t="str">
        <x:v>OK</x:v>
      </x:c>
      <x:c r="M104" s="53" t="str">
        <x:v>NIE</x:v>
      </x:c>
      <x:c r="N104" s="53" t="str">
        <x:v>Worksheet!AG27</x:v>
      </x:c>
    </x:row>
    <x:row r="105">
      <x:c r="A105" s="45" t="str">
        <x:v>100655</x:v>
      </x:c>
      <x:c r="B105" s="45" t="str">
        <x:v>001882/KOB</x:v>
      </x:c>
      <x:c r="C105" s="39" t="str">
        <x:v>Oprawa uliczna LED VESPA PRO 60W 4000K neutralna 8400lm KOBI KFVP60NBAS</x:v>
      </x:c>
      <x:c r="D105" s="39" t="str">
        <x:v>Lampy uliczne</x:v>
      </x:c>
      <x:c r="E105" s="39" t="str">
        <x:v>Typ produktu</x:v>
      </x:c>
      <x:c r="F105" s="39" t="str">
        <x:v>Atrybut obowiązkowy</x:v>
      </x:c>
      <x:c r="G105" s="39" t="str">
        <x:v>(puste)</x:v>
      </x:c>
      <x:c r="H105" s="39" t="str">
        <x:v>Oprawa drogowa LED</x:v>
      </x:c>
      <x:c r="I105" s="39" t="str">
        <x:v>aktualny XML Kobi</x:v>
      </x:c>
      <x:c r="J105" s="39" t="str">
        <x:v>typ wywnioskowany z nazwy producenta</x:v>
      </x:c>
      <x:c r="K105" s="52" t="n">
        <x:v>0.88</x:v>
      </x:c>
      <x:c r="L105" s="53" t="str">
        <x:v>WARNING</x:v>
      </x:c>
      <x:c r="M105" s="53" t="str">
        <x:v>NIE</x:v>
      </x:c>
      <x:c r="N105" s="53" t="str">
        <x:v>Worksheet!Y27</x:v>
      </x:c>
    </x:row>
    <x:row r="106">
      <x:c r="A106" s="45" t="str">
        <x:v>100655</x:v>
      </x:c>
      <x:c r="B106" s="45" t="str">
        <x:v>001882/KOB</x:v>
      </x:c>
      <x:c r="C106" s="39" t="str">
        <x:v>Oprawa uliczna LED VESPA PRO 60W 4000K neutralna 8400lm KOBI KFVP60NBAS</x:v>
      </x:c>
      <x:c r="D106" s="39" t="str">
        <x:v>Lampy uliczne</x:v>
      </x:c>
      <x:c r="E106" s="39" t="str">
        <x:v>Zasilanie</x:v>
      </x:c>
      <x:c r="F106" s="39" t="str">
        <x:v>Atrybut obowiązkowy</x:v>
      </x:c>
      <x:c r="G106" s="39" t="str">
        <x:v>(puste)</x:v>
      </x:c>
      <x:c r="H106" s="39" t="str">
        <x:v>Sieciowe</x:v>
      </x:c>
      <x:c r="I106" s="39" t="str">
        <x:v>kategoria + Kobi XML / nazwa produktu</x:v>
      </x:c>
      <x:c r="J106" s="39" t="str">
        <x:v>rodzaj zasilania</x:v>
      </x:c>
      <x:c r="K106" s="52" t="n">
        <x:v>0.96</x:v>
      </x:c>
      <x:c r="L106" s="53" t="str">
        <x:v>OK</x:v>
      </x:c>
      <x:c r="M106" s="53" t="str">
        <x:v>NIE</x:v>
      </x:c>
      <x:c r="N106" s="53" t="str">
        <x:v>Worksheet!S27</x:v>
      </x:c>
    </x:row>
    <x:row r="107">
      <x:c r="A107" s="45" t="str">
        <x:v>100656</x:v>
      </x:c>
      <x:c r="B107" s="45" t="str">
        <x:v>001876/KOB</x:v>
      </x:c>
      <x:c r="C107" s="39" t="str">
        <x:v>Oprawa uliczna LED VESPA PRO 100W 4000K neutralna 14000lm KOBI KFVP100NBAS</x:v>
      </x:c>
      <x:c r="D107" s="39" t="str">
        <x:v>Lampy uliczne</x:v>
      </x:c>
      <x:c r="E107" s="39" t="str">
        <x:v>Napięcie [V]</x:v>
      </x:c>
      <x:c r="F107" s="39" t="str">
        <x:v>Atrybut dodatkowy potwierdzony</x:v>
      </x:c>
      <x:c r="G107" s="39" t="str">
        <x:v>(puste)</x:v>
      </x:c>
      <x:c r="H107" s="39" t="str">
        <x:v>230</x:v>
      </x:c>
      <x:c r="I107" s="39" t="str">
        <x:v>aktualny XML Kobi</x:v>
      </x:c>
      <x:c r="J107" s="39" t="str">
        <x:v>Napięcie zasilania</x:v>
      </x:c>
      <x:c r="K107" s="52" t="n">
        <x:v>0.97</x:v>
      </x:c>
      <x:c r="L107" s="53" t="str">
        <x:v>OK</x:v>
      </x:c>
      <x:c r="M107" s="53" t="str">
        <x:v>NIE</x:v>
      </x:c>
      <x:c r="N107" s="53" t="str">
        <x:v>Worksheet!AG28</x:v>
      </x:c>
    </x:row>
    <x:row r="108">
      <x:c r="A108" s="45" t="str">
        <x:v>100656</x:v>
      </x:c>
      <x:c r="B108" s="45" t="str">
        <x:v>001876/KOB</x:v>
      </x:c>
      <x:c r="C108" s="39" t="str">
        <x:v>Oprawa uliczna LED VESPA PRO 100W 4000K neutralna 14000lm KOBI KFVP100NBAS</x:v>
      </x:c>
      <x:c r="D108" s="39" t="str">
        <x:v>Lampy uliczne</x:v>
      </x:c>
      <x:c r="E108" s="39" t="str">
        <x:v>Typ produktu</x:v>
      </x:c>
      <x:c r="F108" s="39" t="str">
        <x:v>Atrybut obowiązkowy</x:v>
      </x:c>
      <x:c r="G108" s="39" t="str">
        <x:v>(puste)</x:v>
      </x:c>
      <x:c r="H108" s="39" t="str">
        <x:v>Oprawa drogowa LED</x:v>
      </x:c>
      <x:c r="I108" s="39" t="str">
        <x:v>aktualny XML Kobi</x:v>
      </x:c>
      <x:c r="J108" s="39" t="str">
        <x:v>typ wywnioskowany z nazwy producenta</x:v>
      </x:c>
      <x:c r="K108" s="52" t="n">
        <x:v>0.88</x:v>
      </x:c>
      <x:c r="L108" s="53" t="str">
        <x:v>WARNING</x:v>
      </x:c>
      <x:c r="M108" s="53" t="str">
        <x:v>NIE</x:v>
      </x:c>
      <x:c r="N108" s="53" t="str">
        <x:v>Worksheet!Y28</x:v>
      </x:c>
    </x:row>
    <x:row r="109">
      <x:c r="A109" s="45" t="str">
        <x:v>100656</x:v>
      </x:c>
      <x:c r="B109" s="45" t="str">
        <x:v>001876/KOB</x:v>
      </x:c>
      <x:c r="C109" s="39" t="str">
        <x:v>Oprawa uliczna LED VESPA PRO 100W 4000K neutralna 14000lm KOBI KFVP100NBAS</x:v>
      </x:c>
      <x:c r="D109" s="39" t="str">
        <x:v>Lampy uliczne</x:v>
      </x:c>
      <x:c r="E109" s="39" t="str">
        <x:v>Zasilanie</x:v>
      </x:c>
      <x:c r="F109" s="39" t="str">
        <x:v>Atrybut obowiązkowy</x:v>
      </x:c>
      <x:c r="G109" s="39" t="str">
        <x:v>(puste)</x:v>
      </x:c>
      <x:c r="H109" s="39" t="str">
        <x:v>Sieciowe</x:v>
      </x:c>
      <x:c r="I109" s="39" t="str">
        <x:v>kategoria + Kobi XML / nazwa produktu</x:v>
      </x:c>
      <x:c r="J109" s="39" t="str">
        <x:v>rodzaj zasilania</x:v>
      </x:c>
      <x:c r="K109" s="52" t="n">
        <x:v>0.96</x:v>
      </x:c>
      <x:c r="L109" s="53" t="str">
        <x:v>OK</x:v>
      </x:c>
      <x:c r="M109" s="53" t="str">
        <x:v>NIE</x:v>
      </x:c>
      <x:c r="N109" s="53" t="str">
        <x:v>Worksheet!S28</x:v>
      </x:c>
    </x:row>
    <x:row r="110">
      <x:c r="A110" s="45" t="str">
        <x:v>100657</x:v>
      </x:c>
      <x:c r="B110" s="45" t="str">
        <x:v>001877/KOB</x:v>
      </x:c>
      <x:c r="C110" s="39" t="str">
        <x:v>Oprawa uliczna LED VESPA PRO 150 W 4000K neutralna 20250lm KOBI KFVP150NBAS</x:v>
      </x:c>
      <x:c r="D110" s="39" t="str">
        <x:v>Lampy uliczne</x:v>
      </x:c>
      <x:c r="E110" s="39" t="str">
        <x:v>Napięcie [V]</x:v>
      </x:c>
      <x:c r="F110" s="39" t="str">
        <x:v>Atrybut dodatkowy potwierdzony</x:v>
      </x:c>
      <x:c r="G110" s="39" t="str">
        <x:v>(puste)</x:v>
      </x:c>
      <x:c r="H110" s="39" t="str">
        <x:v>230</x:v>
      </x:c>
      <x:c r="I110" s="39" t="str">
        <x:v>aktualny XML Kobi</x:v>
      </x:c>
      <x:c r="J110" s="39" t="str">
        <x:v>Napięcie zasilania</x:v>
      </x:c>
      <x:c r="K110" s="52" t="n">
        <x:v>0.97</x:v>
      </x:c>
      <x:c r="L110" s="53" t="str">
        <x:v>OK</x:v>
      </x:c>
      <x:c r="M110" s="53" t="str">
        <x:v>NIE</x:v>
      </x:c>
      <x:c r="N110" s="53" t="str">
        <x:v>Worksheet!AG29</x:v>
      </x:c>
    </x:row>
    <x:row r="111">
      <x:c r="A111" s="45" t="str">
        <x:v>100657</x:v>
      </x:c>
      <x:c r="B111" s="45" t="str">
        <x:v>001877/KOB</x:v>
      </x:c>
      <x:c r="C111" s="39" t="str">
        <x:v>Oprawa uliczna LED VESPA PRO 150 W 4000K neutralna 20250lm KOBI KFVP150NBAS</x:v>
      </x:c>
      <x:c r="D111" s="39" t="str">
        <x:v>Lampy uliczne</x:v>
      </x:c>
      <x:c r="E111" s="39" t="str">
        <x:v>Typ produktu</x:v>
      </x:c>
      <x:c r="F111" s="39" t="str">
        <x:v>Atrybut obowiązkowy</x:v>
      </x:c>
      <x:c r="G111" s="39" t="str">
        <x:v>(puste)</x:v>
      </x:c>
      <x:c r="H111" s="39" t="str">
        <x:v>Oprawa drogowa LED</x:v>
      </x:c>
      <x:c r="I111" s="39" t="str">
        <x:v>aktualny XML Kobi</x:v>
      </x:c>
      <x:c r="J111" s="39" t="str">
        <x:v>typ wywnioskowany z nazwy producenta</x:v>
      </x:c>
      <x:c r="K111" s="52" t="n">
        <x:v>0.88</x:v>
      </x:c>
      <x:c r="L111" s="53" t="str">
        <x:v>WARNING</x:v>
      </x:c>
      <x:c r="M111" s="53" t="str">
        <x:v>NIE</x:v>
      </x:c>
      <x:c r="N111" s="53" t="str">
        <x:v>Worksheet!Y29</x:v>
      </x:c>
    </x:row>
    <x:row r="112">
      <x:c r="A112" s="45" t="str">
        <x:v>100657</x:v>
      </x:c>
      <x:c r="B112" s="45" t="str">
        <x:v>001877/KOB</x:v>
      </x:c>
      <x:c r="C112" s="39" t="str">
        <x:v>Oprawa uliczna LED VESPA PRO 150 W 4000K neutralna 20250lm KOBI KFVP150NBAS</x:v>
      </x:c>
      <x:c r="D112" s="39" t="str">
        <x:v>Lampy uliczne</x:v>
      </x:c>
      <x:c r="E112" s="39" t="str">
        <x:v>Zasilanie</x:v>
      </x:c>
      <x:c r="F112" s="39" t="str">
        <x:v>Atrybut obowiązkowy</x:v>
      </x:c>
      <x:c r="G112" s="39" t="str">
        <x:v>(puste)</x:v>
      </x:c>
      <x:c r="H112" s="39" t="str">
        <x:v>Sieciowe</x:v>
      </x:c>
      <x:c r="I112" s="39" t="str">
        <x:v>kategoria + Kobi XML / nazwa produktu</x:v>
      </x:c>
      <x:c r="J112" s="39" t="str">
        <x:v>rodzaj zasilania</x:v>
      </x:c>
      <x:c r="K112" s="52" t="n">
        <x:v>0.96</x:v>
      </x:c>
      <x:c r="L112" s="53" t="str">
        <x:v>OK</x:v>
      </x:c>
      <x:c r="M112" s="53" t="str">
        <x:v>NIE</x:v>
      </x:c>
      <x:c r="N112" s="53" t="str">
        <x:v>Worksheet!S29</x:v>
      </x:c>
    </x:row>
    <x:row r="113">
      <x:c r="A113" s="45" t="str">
        <x:v>102385</x:v>
      </x:c>
      <x:c r="B113" s="45" t="str">
        <x:v>001809/KOB</x:v>
      </x:c>
      <x:c r="C113" s="39" t="str">
        <x:v>Naświetlacz LED z czujnikiem ruchu i panelem solarnym 30W 4000K b. neutralna 4800lm IP65 Kobi KFNSC30NB KFNSCS30NB</x:v>
      </x:c>
      <x:c r="D113" s="39" t="str">
        <x:v>Naświetlacze LED</x:v>
      </x:c>
      <x:c r="E113" s="39" t="str">
        <x:v>Typ produktu</x:v>
      </x:c>
      <x:c r="F113" s="39" t="str">
        <x:v>Atrybut obowiązkowy</x:v>
      </x:c>
      <x:c r="G113" s="39" t="str">
        <x:v>(puste)</x:v>
      </x:c>
      <x:c r="H113" s="39" t="str">
        <x:v>Naświetlacz LED</x:v>
      </x:c>
      <x:c r="I113" s="39" t="str">
        <x:v>nazwa produktu w eksporcie WooCommerce</x:v>
      </x:c>
      <x:c r="J113" s="39" t="str">
        <x:v>typ wywnioskowany z nazwy producenta</x:v>
      </x:c>
      <x:c r="K113" s="52" t="n">
        <x:v>0.88</x:v>
      </x:c>
      <x:c r="L113" s="53" t="str">
        <x:v>WARNING</x:v>
      </x:c>
      <x:c r="M113" s="53" t="str">
        <x:v>NIE</x:v>
      </x:c>
      <x:c r="N113" s="53" t="str">
        <x:v>Worksheet!Y30</x:v>
      </x:c>
    </x:row>
    <x:row r="114">
      <x:c r="A114" s="45" t="str">
        <x:v>102385</x:v>
      </x:c>
      <x:c r="B114" s="45" t="str">
        <x:v>001809/KOB</x:v>
      </x:c>
      <x:c r="C114" s="39" t="str">
        <x:v>Naświetlacz LED z czujnikiem ruchu i panelem solarnym 30W 4000K b. neutralna 4800lm IP65 Kobi KFNSC30NB KFNSCS30NB</x:v>
      </x:c>
      <x:c r="D114" s="39" t="str">
        <x:v>Naświetlacze LED</x:v>
      </x:c>
      <x:c r="E114" s="39" t="str">
        <x:v>Zasilanie</x:v>
      </x:c>
      <x:c r="F114" s="39" t="str">
        <x:v>Atrybut obowiązkowy</x:v>
      </x:c>
      <x:c r="G114" s="39" t="str">
        <x:v>(puste)</x:v>
      </x:c>
      <x:c r="H114" s="39" t="str">
        <x:v>Solarne</x:v>
      </x:c>
      <x:c r="I114" s="39" t="str">
        <x:v>kategoria + Kobi XML / nazwa produktu</x:v>
      </x:c>
      <x:c r="J114" s="39" t="str">
        <x:v>rodzaj zasilania</x:v>
      </x:c>
      <x:c r="K114" s="52" t="n">
        <x:v>0.96</x:v>
      </x:c>
      <x:c r="L114" s="53" t="str">
        <x:v>OK</x:v>
      </x:c>
      <x:c r="M114" s="53" t="str">
        <x:v>NIE</x:v>
      </x:c>
      <x:c r="N114" s="53" t="str">
        <x:v>Worksheet!S30</x:v>
      </x:c>
    </x:row>
    <x:row r="115">
      <x:c r="A115" s="45" t="str">
        <x:v>114149</x:v>
      </x:c>
      <x:c r="B115" s="45" t="str">
        <x:v>001814/KOB</x:v>
      </x:c>
      <x:c r="C115" s="39" t="str">
        <x:v>Naświetlacz Solarny LED MHCS 10W PREMIUM barwa neutralna KOBI KFNSR10NB</x:v>
      </x:c>
      <x:c r="D115" s="39" t="str">
        <x:v>Naświetlacze LED</x:v>
      </x:c>
      <x:c r="E115" s="39" t="str">
        <x:v>Kąt świecenia [°]</x:v>
      </x:c>
      <x:c r="F115" s="39" t="str">
        <x:v>Atrybut dodatkowy potwierdzony</x:v>
      </x:c>
      <x:c r="G115" s="39" t="str">
        <x:v>(puste)</x:v>
      </x:c>
      <x:c r="H115" s="39" t="str">
        <x:v>120</x:v>
      </x:c>
      <x:c r="I115" s="39" t="str">
        <x:v>aktualny XML Kobi</x:v>
      </x:c>
      <x:c r="J115" s="39" t="str">
        <x:v>Kąt świecenia [°]</x:v>
      </x:c>
      <x:c r="K115" s="52" t="n">
        <x:v>0.97</x:v>
      </x:c>
      <x:c r="L115" s="53" t="str">
        <x:v>OK</x:v>
      </x:c>
      <x:c r="M115" s="53" t="str">
        <x:v>NIE</x:v>
      </x:c>
      <x:c r="N115" s="53" t="str">
        <x:v>Worksheet!W31</x:v>
      </x:c>
    </x:row>
    <x:row r="116">
      <x:c r="A116" s="45" t="str">
        <x:v>114149</x:v>
      </x:c>
      <x:c r="B116" s="45" t="str">
        <x:v>001814/KOB</x:v>
      </x:c>
      <x:c r="C116" s="39" t="str">
        <x:v>Naświetlacz Solarny LED MHCS 10W PREMIUM barwa neutralna KOBI KFNSR10NB</x:v>
      </x:c>
      <x:c r="D116" s="39" t="str">
        <x:v>Naświetlacze LED</x:v>
      </x:c>
      <x:c r="E116" s="39" t="str">
        <x:v>Kolor</x:v>
      </x:c>
      <x:c r="F116" s="39" t="str">
        <x:v>Atrybut obowiązkowy</x:v>
      </x:c>
      <x:c r="G116" s="39" t="str">
        <x:v>(puste)</x:v>
      </x:c>
      <x:c r="H116" s="39" t="str">
        <x:v>Czarny</x:v>
      </x:c>
      <x:c r="I116" s="39" t="str">
        <x:v>aktualny XML Kobi</x:v>
      </x:c>
      <x:c r="J116" s="39" t="str">
        <x:v>Kolor produktu</x:v>
      </x:c>
      <x:c r="K116" s="52" t="n">
        <x:v>0.97</x:v>
      </x:c>
      <x:c r="L116" s="53" t="str">
        <x:v>OK</x:v>
      </x:c>
      <x:c r="M116" s="53" t="str">
        <x:v>NIE</x:v>
      </x:c>
      <x:c r="N116" s="53" t="str">
        <x:v>Worksheet!T31</x:v>
      </x:c>
    </x:row>
    <x:row r="117">
      <x:c r="A117" s="45" t="str">
        <x:v>114149</x:v>
      </x:c>
      <x:c r="B117" s="45" t="str">
        <x:v>001814/KOB</x:v>
      </x:c>
      <x:c r="C117" s="39" t="str">
        <x:v>Naświetlacz Solarny LED MHCS 10W PREMIUM barwa neutralna KOBI KFNSR10NB</x:v>
      </x:c>
      <x:c r="D117" s="39" t="str">
        <x:v>Naświetlacze LED</x:v>
      </x:c>
      <x:c r="E117" s="39" t="str">
        <x:v>Napięcie [V]</x:v>
      </x:c>
      <x:c r="F117" s="39" t="str">
        <x:v>Atrybut dodatkowy potwierdzony</x:v>
      </x:c>
      <x:c r="G117" s="39" t="str">
        <x:v>(puste)</x:v>
      </x:c>
      <x:c r="H117" s="39" t="str">
        <x:v>3</x:v>
      </x:c>
      <x:c r="I117" s="39" t="str">
        <x:v>aktualny XML Kobi</x:v>
      </x:c>
      <x:c r="J117" s="39" t="str">
        <x:v>Napięcie zasilania</x:v>
      </x:c>
      <x:c r="K117" s="52" t="n">
        <x:v>0.97</x:v>
      </x:c>
      <x:c r="L117" s="53" t="str">
        <x:v>OK</x:v>
      </x:c>
      <x:c r="M117" s="53" t="str">
        <x:v>NIE</x:v>
      </x:c>
      <x:c r="N117" s="53" t="str">
        <x:v>Worksheet!AG31</x:v>
      </x:c>
    </x:row>
    <x:row r="118">
      <x:c r="A118" s="45" t="str">
        <x:v>114149</x:v>
      </x:c>
      <x:c r="B118" s="45" t="str">
        <x:v>001814/KOB</x:v>
      </x:c>
      <x:c r="C118" s="39" t="str">
        <x:v>Naświetlacz Solarny LED MHCS 10W PREMIUM barwa neutralna KOBI KFNSR10NB</x:v>
      </x:c>
      <x:c r="D118" s="39" t="str">
        <x:v>Naświetlacze LED</x:v>
      </x:c>
      <x:c r="E118" s="39" t="str">
        <x:v>Typ produktu</x:v>
      </x:c>
      <x:c r="F118" s="39" t="str">
        <x:v>Atrybut obowiązkowy</x:v>
      </x:c>
      <x:c r="G118" s="39" t="str">
        <x:v>(puste)</x:v>
      </x:c>
      <x:c r="H118" s="39" t="str">
        <x:v>Naświetlacz solarny LED</x:v>
      </x:c>
      <x:c r="I118" s="39" t="str">
        <x:v>aktualny XML Kobi</x:v>
      </x:c>
      <x:c r="J118" s="39" t="str">
        <x:v>typ wywnioskowany z nazwy producenta</x:v>
      </x:c>
      <x:c r="K118" s="52" t="n">
        <x:v>0.88</x:v>
      </x:c>
      <x:c r="L118" s="53" t="str">
        <x:v>WARNING</x:v>
      </x:c>
      <x:c r="M118" s="53" t="str">
        <x:v>NIE</x:v>
      </x:c>
      <x:c r="N118" s="53" t="str">
        <x:v>Worksheet!Y31</x:v>
      </x:c>
    </x:row>
    <x:row r="119">
      <x:c r="A119" s="45" t="str">
        <x:v>114149</x:v>
      </x:c>
      <x:c r="B119" s="45" t="str">
        <x:v>001814/KOB</x:v>
      </x:c>
      <x:c r="C119" s="39" t="str">
        <x:v>Naświetlacz Solarny LED MHCS 10W PREMIUM barwa neutralna KOBI KFNSR10NB</x:v>
      </x:c>
      <x:c r="D119" s="39" t="str">
        <x:v>Naświetlacze LED</x:v>
      </x:c>
      <x:c r="E119" s="39" t="str">
        <x:v>Zasilanie</x:v>
      </x:c>
      <x:c r="F119" s="39" t="str">
        <x:v>Atrybut obowiązkowy</x:v>
      </x:c>
      <x:c r="G119" s="39" t="str">
        <x:v>(puste)</x:v>
      </x:c>
      <x:c r="H119" s="39" t="str">
        <x:v>Solarne</x:v>
      </x:c>
      <x:c r="I119" s="39" t="str">
        <x:v>kategoria + Kobi XML / nazwa produktu</x:v>
      </x:c>
      <x:c r="J119" s="39" t="str">
        <x:v>rodzaj zasilania</x:v>
      </x:c>
      <x:c r="K119" s="52" t="n">
        <x:v>0.96</x:v>
      </x:c>
      <x:c r="L119" s="53" t="str">
        <x:v>OK</x:v>
      </x:c>
      <x:c r="M119" s="53" t="str">
        <x:v>NIE</x:v>
      </x:c>
      <x:c r="N119" s="53" t="str">
        <x:v>Worksheet!S31</x:v>
      </x:c>
    </x:row>
    <x:row r="120">
      <x:c r="A120" s="45" t="str">
        <x:v>125826</x:v>
      </x:c>
      <x:c r="B120" s="45" t="str">
        <x:v>002243/KOB</x:v>
      </x:c>
      <x:c r="C120" s="39" t="str">
        <x:v>Oprawa najazdowa kwadratowa GU10 IP67 INGRESS SQUARE CHROM KTLIOSE</x:v>
      </x:c>
      <x:c r="D120" s="39" t="str">
        <x:v>Oprawy najazdowe</x:v>
      </x:c>
      <x:c r="E120" s="39" t="str">
        <x:v>Kolor</x:v>
      </x:c>
      <x:c r="F120" s="39" t="str">
        <x:v>Atrybut obowiązkowy</x:v>
      </x:c>
      <x:c r="G120" s="39" t="str">
        <x:v>(puste)</x:v>
      </x:c>
      <x:c r="H120" s="39" t="str">
        <x:v>Stalowy</x:v>
      </x:c>
      <x:c r="I120" s="39" t="str">
        <x:v>aktualny XML Kobi</x:v>
      </x:c>
      <x:c r="J120" s="39" t="str">
        <x:v>Kolor produktu</x:v>
      </x:c>
      <x:c r="K120" s="52" t="n">
        <x:v>0.97</x:v>
      </x:c>
      <x:c r="L120" s="53" t="str">
        <x:v>OK</x:v>
      </x:c>
      <x:c r="M120" s="53" t="str">
        <x:v>NIE</x:v>
      </x:c>
      <x:c r="N120" s="53" t="str">
        <x:v>Worksheet!T32</x:v>
      </x:c>
    </x:row>
    <x:row r="121">
      <x:c r="A121" s="45" t="str">
        <x:v>125826</x:v>
      </x:c>
      <x:c r="B121" s="45" t="str">
        <x:v>002243/KOB</x:v>
      </x:c>
      <x:c r="C121" s="39" t="str">
        <x:v>Oprawa najazdowa kwadratowa GU10 IP67 INGRESS SQUARE CHROM KTLIOSE</x:v>
      </x:c>
      <x:c r="D121" s="39" t="str">
        <x:v>Oprawy najazdowe</x:v>
      </x:c>
      <x:c r="E121" s="39" t="str">
        <x:v>Napięcie [V]</x:v>
      </x:c>
      <x:c r="F121" s="39" t="str">
        <x:v>Atrybut dodatkowy potwierdzony</x:v>
      </x:c>
      <x:c r="G121" s="39" t="str">
        <x:v>(puste)</x:v>
      </x:c>
      <x:c r="H121" s="39" t="str">
        <x:v>230</x:v>
      </x:c>
      <x:c r="I121" s="39" t="str">
        <x:v>aktualny XML Kobi</x:v>
      </x:c>
      <x:c r="J121" s="39" t="str">
        <x:v>Napięcie zasilania</x:v>
      </x:c>
      <x:c r="K121" s="52" t="n">
        <x:v>0.97</x:v>
      </x:c>
      <x:c r="L121" s="53" t="str">
        <x:v>OK</x:v>
      </x:c>
      <x:c r="M121" s="53" t="str">
        <x:v>NIE</x:v>
      </x:c>
      <x:c r="N121" s="53" t="str">
        <x:v>Worksheet!AG32</x:v>
      </x:c>
    </x:row>
    <x:row r="122">
      <x:c r="A122" s="45" t="str">
        <x:v>125826</x:v>
      </x:c>
      <x:c r="B122" s="45" t="str">
        <x:v>002243/KOB</x:v>
      </x:c>
      <x:c r="C122" s="39" t="str">
        <x:v>Oprawa najazdowa kwadratowa GU10 IP67 INGRESS SQUARE CHROM KTLIOSE</x:v>
      </x:c>
      <x:c r="D122" s="39" t="str">
        <x:v>Oprawy najazdowe</x:v>
      </x:c>
      <x:c r="E122" s="39" t="str">
        <x:v>Stopień ochrony [IP]</x:v>
      </x:c>
      <x:c r="F122" s="39" t="str">
        <x:v>Atrybut obowiązkowy</x:v>
      </x:c>
      <x:c r="G122" s="39" t="str">
        <x:v>(puste)</x:v>
      </x:c>
      <x:c r="H122" s="39" t="str">
        <x:v>IP 67</x:v>
      </x:c>
      <x:c r="I122" s="39" t="str">
        <x:v>aktualny XML Kobi</x:v>
      </x:c>
      <x:c r="J122" s="39" t="str">
        <x:v>IP</x:v>
      </x:c>
      <x:c r="K122" s="52" t="n">
        <x:v>0.97</x:v>
      </x:c>
      <x:c r="L122" s="53" t="str">
        <x:v>OK</x:v>
      </x:c>
      <x:c r="M122" s="53" t="str">
        <x:v>NIE</x:v>
      </x:c>
      <x:c r="N122" s="53" t="str">
        <x:v>Worksheet!Q32</x:v>
      </x:c>
    </x:row>
    <x:row r="123">
      <x:c r="A123" s="45" t="str">
        <x:v>125826</x:v>
      </x:c>
      <x:c r="B123" s="45" t="str">
        <x:v>002243/KOB</x:v>
      </x:c>
      <x:c r="C123" s="39" t="str">
        <x:v>Oprawa najazdowa kwadratowa GU10 IP67 INGRESS SQUARE CHROM KTLIOSE</x:v>
      </x:c>
      <x:c r="D123" s="39" t="str">
        <x:v>Oprawy najazdowe</x:v>
      </x:c>
      <x:c r="E123" s="39" t="str">
        <x:v>Stopień odporności [IK]</x:v>
      </x:c>
      <x:c r="F123" s="39" t="str">
        <x:v>Atrybut obowiązkowy</x:v>
      </x:c>
      <x:c r="G123" s="39" t="str">
        <x:v>(puste)</x:v>
      </x:c>
      <x:c r="H123" s="39" t="str">
        <x:v>IK06</x:v>
      </x:c>
      <x:c r="I123" s="39" t="str">
        <x:v>aktualny XML Kobi</x:v>
      </x:c>
      <x:c r="J123" s="39" t="str">
        <x:v>IK</x:v>
      </x:c>
      <x:c r="K123" s="52" t="n">
        <x:v>0.97</x:v>
      </x:c>
      <x:c r="L123" s="53" t="str">
        <x:v>OK</x:v>
      </x:c>
      <x:c r="M123" s="53" t="str">
        <x:v>NIE</x:v>
      </x:c>
      <x:c r="N123" s="53" t="str">
        <x:v>Worksheet!R32</x:v>
      </x:c>
    </x:row>
    <x:row r="124">
      <x:c r="A124" s="45" t="str">
        <x:v>125826</x:v>
      </x:c>
      <x:c r="B124" s="45" t="str">
        <x:v>002243/KOB</x:v>
      </x:c>
      <x:c r="C124" s="39" t="str">
        <x:v>Oprawa najazdowa kwadratowa GU10 IP67 INGRESS SQUARE CHROM KTLIOSE</x:v>
      </x:c>
      <x:c r="D124" s="39" t="str">
        <x:v>Oprawy najazdowe</x:v>
      </x:c>
      <x:c r="E124" s="39" t="str">
        <x:v>Trzonek</x:v>
      </x:c>
      <x:c r="F124" s="39" t="str">
        <x:v>Atrybut obowiązkowy</x:v>
      </x:c>
      <x:c r="G124" s="39" t="str">
        <x:v>(puste)</x:v>
      </x:c>
      <x:c r="H124" s="39" t="str">
        <x:v>GU10</x:v>
      </x:c>
      <x:c r="I124" s="39" t="str">
        <x:v>aktualny XML Kobi</x:v>
      </x:c>
      <x:c r="J124" s="39" t="str">
        <x:v>Trzonek</x:v>
      </x:c>
      <x:c r="K124" s="52" t="n">
        <x:v>0.97</x:v>
      </x:c>
      <x:c r="L124" s="53" t="str">
        <x:v>OK</x:v>
      </x:c>
      <x:c r="M124" s="53" t="str">
        <x:v>NIE</x:v>
      </x:c>
      <x:c r="N124" s="53" t="str">
        <x:v>Worksheet!AJ32</x:v>
      </x:c>
    </x:row>
    <x:row r="125">
      <x:c r="A125" s="45" t="str">
        <x:v>125826</x:v>
      </x:c>
      <x:c r="B125" s="45" t="str">
        <x:v>002243/KOB</x:v>
      </x:c>
      <x:c r="C125" s="39" t="str">
        <x:v>Oprawa najazdowa kwadratowa GU10 IP67 INGRESS SQUARE CHROM KTLIOSE</x:v>
      </x:c>
      <x:c r="D125" s="39" t="str">
        <x:v>Oprawy najazdowe</x:v>
      </x:c>
      <x:c r="E125" s="39" t="str">
        <x:v>Zasilanie</x:v>
      </x:c>
      <x:c r="F125" s="39" t="str">
        <x:v>Atrybut obowiązkowy</x:v>
      </x:c>
      <x:c r="G125" s="39" t="str">
        <x:v>(puste)</x:v>
      </x:c>
      <x:c r="H125" s="39" t="str">
        <x:v>Sieciowe</x:v>
      </x:c>
      <x:c r="I125" s="39" t="str">
        <x:v>kategoria + Kobi XML / nazwa produktu</x:v>
      </x:c>
      <x:c r="J125" s="39" t="str">
        <x:v>rodzaj zasilania</x:v>
      </x:c>
      <x:c r="K125" s="52" t="n">
        <x:v>0.96</x:v>
      </x:c>
      <x:c r="L125" s="53" t="str">
        <x:v>OK</x:v>
      </x:c>
      <x:c r="M125" s="53" t="str">
        <x:v>NIE</x:v>
      </x:c>
      <x:c r="N125" s="53" t="str">
        <x:v>Worksheet!S32</x:v>
      </x:c>
    </x:row>
    <x:row r="126">
      <x:c r="A126" s="45" t="str">
        <x:v>125826</x:v>
      </x:c>
      <x:c r="B126" s="45" t="str">
        <x:v>002243/KOB</x:v>
      </x:c>
      <x:c r="C126" s="39" t="str">
        <x:v>Oprawa najazdowa kwadratowa GU10 IP67 INGRESS SQUARE CHROM KTLIOSE</x:v>
      </x:c>
      <x:c r="D126" s="39" t="str">
        <x:v>Oprawy najazdowe</x:v>
      </x:c>
      <x:c r="E126" s="39" t="str">
        <x:v>Kształt</x:v>
      </x:c>
      <x:c r="F126" s="39" t="str">
        <x:v>Atrybut obowiązkowy</x:v>
      </x:c>
      <x:c r="G126" s="39" t="str">
        <x:v>(puste)</x:v>
      </x:c>
      <x:c r="H126" s="39" t="str">
        <x:v>Kwadrat</x:v>
      </x:c>
      <x:c r="I126" s="39" t="str">
        <x:v>aktualny XML Kobi</x:v>
      </x:c>
      <x:c r="J126" s="39" t="str">
        <x:v>wartość wywnioskowana z nazwy producenta</x:v>
      </x:c>
      <x:c r="K126" s="52" t="n">
        <x:v>0.86</x:v>
      </x:c>
      <x:c r="L126" s="53" t="str">
        <x:v>WARNING</x:v>
      </x:c>
      <x:c r="M126" s="53" t="str">
        <x:v>NIE</x:v>
      </x:c>
      <x:c r="N126" s="53" t="str">
        <x:v>Worksheet!AE32</x:v>
      </x:c>
    </x:row>
    <x:row r="127">
      <x:c r="A127" s="45" t="str">
        <x:v>134785</x:v>
      </x:c>
      <x:c r="B127" s="45" t="str">
        <x:v>001623/KOB</x:v>
      </x:c>
      <x:c r="C127" s="39" t="str">
        <x:v>Oprawa belka LED 40W 4000K 4800lm 120cm KOLINE K1 professional line Kobi KFKE40WNBCZ</x:v>
      </x:c>
      <x:c r="D127" s="39" t="str">
        <x:v>Oprawy liniowe, belki</x:v>
      </x:c>
      <x:c r="E127" s="39" t="str">
        <x:v>Długość</x:v>
      </x:c>
      <x:c r="F127" s="39" t="str">
        <x:v>Atrybut obowiązkowy</x:v>
      </x:c>
      <x:c r="G127" s="39" t="str">
        <x:v>(puste)</x:v>
      </x:c>
      <x:c r="H127" s="39" t="str">
        <x:v>120 cm</x:v>
      </x:c>
      <x:c r="I127" s="39" t="str">
        <x:v>nazwa produktu w eksporcie WooCommerce</x:v>
      </x:c>
      <x:c r="J127" s="39" t="str">
        <x:v>wymiar w nazwie</x:v>
      </x:c>
      <x:c r="K127" s="52" t="n">
        <x:v>0.96</x:v>
      </x:c>
      <x:c r="L127" s="53" t="str">
        <x:v>OK</x:v>
      </x:c>
      <x:c r="M127" s="53" t="str">
        <x:v>NIE</x:v>
      </x:c>
      <x:c r="N127" s="53" t="str">
        <x:v>Worksheet!AA33</x:v>
      </x:c>
    </x:row>
    <x:row r="128">
      <x:c r="A128" s="45" t="str">
        <x:v>134785</x:v>
      </x:c>
      <x:c r="B128" s="45" t="str">
        <x:v>001623/KOB</x:v>
      </x:c>
      <x:c r="C128" s="39" t="str">
        <x:v>Oprawa belka LED 40W 4000K 4800lm 120cm KOLINE K1 professional line Kobi KFKE40WNBCZ</x:v>
      </x:c>
      <x:c r="D128" s="39" t="str">
        <x:v>Oprawy liniowe, belki</x:v>
      </x:c>
      <x:c r="E128" s="39" t="str">
        <x:v>Napięcie [V]</x:v>
      </x:c>
      <x:c r="F128" s="39" t="str">
        <x:v>Atrybut dodatkowy potwierdzony</x:v>
      </x:c>
      <x:c r="G128" s="39" t="str">
        <x:v>(puste)</x:v>
      </x:c>
      <x:c r="H128" s="39" t="str">
        <x:v>230</x:v>
      </x:c>
      <x:c r="I128" s="39" t="str">
        <x:v>aktualny XML Kobi</x:v>
      </x:c>
      <x:c r="J128" s="39" t="str">
        <x:v>Napięcie zasilania</x:v>
      </x:c>
      <x:c r="K128" s="52" t="n">
        <x:v>0.97</x:v>
      </x:c>
      <x:c r="L128" s="53" t="str">
        <x:v>OK</x:v>
      </x:c>
      <x:c r="M128" s="53" t="str">
        <x:v>NIE</x:v>
      </x:c>
      <x:c r="N128" s="53" t="str">
        <x:v>Worksheet!AG33</x:v>
      </x:c>
    </x:row>
    <x:row r="129">
      <x:c r="A129" s="45" t="str">
        <x:v>134785</x:v>
      </x:c>
      <x:c r="B129" s="45" t="str">
        <x:v>001623/KOB</x:v>
      </x:c>
      <x:c r="C129" s="39" t="str">
        <x:v>Oprawa belka LED 40W 4000K 4800lm 120cm KOLINE K1 professional line Kobi KFKE40WNBCZ</x:v>
      </x:c>
      <x:c r="D129" s="39" t="str">
        <x:v>Oprawy liniowe, belki</x:v>
      </x:c>
      <x:c r="E129" s="39" t="str">
        <x:v>Typ produktu</x:v>
      </x:c>
      <x:c r="F129" s="39" t="str">
        <x:v>Atrybut obowiązkowy</x:v>
      </x:c>
      <x:c r="G129" s="39" t="str">
        <x:v>(puste)</x:v>
      </x:c>
      <x:c r="H129" s="39" t="str">
        <x:v>Oprawa liniowa LED</x:v>
      </x:c>
      <x:c r="I129" s="39" t="str">
        <x:v>nazwa produktu w eksporcie WooCommerce</x:v>
      </x:c>
      <x:c r="J129" s="39" t="str">
        <x:v>kategoria + nazwa produktu</x:v>
      </x:c>
      <x:c r="K129" s="52" t="n">
        <x:v>0.94</x:v>
      </x:c>
      <x:c r="L129" s="53" t="str">
        <x:v>OK</x:v>
      </x:c>
      <x:c r="M129" s="53" t="str">
        <x:v>NIE</x:v>
      </x:c>
      <x:c r="N129" s="53" t="str">
        <x:v>Worksheet!Y33</x:v>
      </x:c>
    </x:row>
    <x:row r="130">
      <x:c r="A130" s="45" t="str">
        <x:v>134785</x:v>
      </x:c>
      <x:c r="B130" s="45" t="str">
        <x:v>001623/KOB</x:v>
      </x:c>
      <x:c r="C130" s="39" t="str">
        <x:v>Oprawa belka LED 40W 4000K 4800lm 120cm KOLINE K1 professional line Kobi KFKE40WNBCZ</x:v>
      </x:c>
      <x:c r="D130" s="39" t="str">
        <x:v>Oprawy liniowe, belki</x:v>
      </x:c>
      <x:c r="E130" s="39" t="str">
        <x:v>Zasilanie</x:v>
      </x:c>
      <x:c r="F130" s="39" t="str">
        <x:v>Atrybut obowiązkowy</x:v>
      </x:c>
      <x:c r="G130" s="39" t="str">
        <x:v>(puste)</x:v>
      </x:c>
      <x:c r="H130" s="39" t="str">
        <x:v>Sieciowe</x:v>
      </x:c>
      <x:c r="I130" s="39" t="str">
        <x:v>kategoria + Kobi XML / nazwa produktu</x:v>
      </x:c>
      <x:c r="J130" s="39" t="str">
        <x:v>rodzaj zasilania</x:v>
      </x:c>
      <x:c r="K130" s="52" t="n">
        <x:v>0.96</x:v>
      </x:c>
      <x:c r="L130" s="53" t="str">
        <x:v>OK</x:v>
      </x:c>
      <x:c r="M130" s="53" t="str">
        <x:v>NIE</x:v>
      </x:c>
      <x:c r="N130" s="53" t="str">
        <x:v>Worksheet!S33</x:v>
      </x:c>
    </x:row>
    <x:row r="131">
      <x:c r="A131" s="45" t="str">
        <x:v>134785</x:v>
      </x:c>
      <x:c r="B131" s="45" t="str">
        <x:v>001623/KOB</x:v>
      </x:c>
      <x:c r="C131" s="39" t="str">
        <x:v>Oprawa belka LED 40W 4000K 4800lm 120cm KOLINE K1 professional line Kobi KFKE40WNBCZ</x:v>
      </x:c>
      <x:c r="D131" s="39" t="str">
        <x:v>Oprawy liniowe, belki</x:v>
      </x:c>
      <x:c r="E131" s="39" t="str">
        <x:v>Źródło światła</x:v>
      </x:c>
      <x:c r="F131" s="39" t="str">
        <x:v>Atrybut obowiązkowy</x:v>
      </x:c>
      <x:c r="G131" s="39" t="str">
        <x:v>(puste)</x:v>
      </x:c>
      <x:c r="H131" s="39" t="str">
        <x:v>Zintegrowane</x:v>
      </x:c>
      <x:c r="I131" s="39" t="str">
        <x:v>Kobi XML + nazwa produktu</x:v>
      </x:c>
      <x:c r="J131" s="39" t="str">
        <x:v>LED w konstrukcji oprawy</x:v>
      </x:c>
      <x:c r="K131" s="52" t="n">
        <x:v>0.96</x:v>
      </x:c>
      <x:c r="L131" s="53" t="str">
        <x:v>OK</x:v>
      </x:c>
      <x:c r="M131" s="53" t="str">
        <x:v>NIE</x:v>
      </x:c>
      <x:c r="N131" s="53" t="str">
        <x:v>Worksheet!AL33</x:v>
      </x:c>
    </x:row>
    <x:row r="132">
      <x:c r="A132" s="45" t="str">
        <x:v>134796</x:v>
      </x:c>
      <x:c r="B132" s="45" t="str">
        <x:v>001620/KOB</x:v>
      </x:c>
      <x:c r="C132" s="39" t="str">
        <x:v>Oprawa belka LED 40W 4000K 5200lm 120cm KOLINE K1 biała professional line Kobi KFKE40WNBBI</x:v>
      </x:c>
      <x:c r="D132" s="39" t="str">
        <x:v>Oprawy liniowe, belki</x:v>
      </x:c>
      <x:c r="E132" s="39" t="str">
        <x:v>Długość</x:v>
      </x:c>
      <x:c r="F132" s="39" t="str">
        <x:v>Atrybut obowiązkowy</x:v>
      </x:c>
      <x:c r="G132" s="39" t="str">
        <x:v>(puste)</x:v>
      </x:c>
      <x:c r="H132" s="39" t="str">
        <x:v>120 cm</x:v>
      </x:c>
      <x:c r="I132" s="39" t="str">
        <x:v>nazwa produktu w eksporcie WooCommerce</x:v>
      </x:c>
      <x:c r="J132" s="39" t="str">
        <x:v>wymiar w nazwie</x:v>
      </x:c>
      <x:c r="K132" s="52" t="n">
        <x:v>0.96</x:v>
      </x:c>
      <x:c r="L132" s="53" t="str">
        <x:v>OK</x:v>
      </x:c>
      <x:c r="M132" s="53" t="str">
        <x:v>NIE</x:v>
      </x:c>
      <x:c r="N132" s="53" t="str">
        <x:v>Worksheet!AA34</x:v>
      </x:c>
    </x:row>
    <x:row r="133">
      <x:c r="A133" s="45" t="str">
        <x:v>134796</x:v>
      </x:c>
      <x:c r="B133" s="45" t="str">
        <x:v>001620/KOB</x:v>
      </x:c>
      <x:c r="C133" s="39" t="str">
        <x:v>Oprawa belka LED 40W 4000K 5200lm 120cm KOLINE K1 biała professional line Kobi KFKE40WNBBI</x:v>
      </x:c>
      <x:c r="D133" s="39" t="str">
        <x:v>Oprawy liniowe, belki</x:v>
      </x:c>
      <x:c r="E133" s="39" t="str">
        <x:v>Napięcie [V]</x:v>
      </x:c>
      <x:c r="F133" s="39" t="str">
        <x:v>Atrybut dodatkowy potwierdzony</x:v>
      </x:c>
      <x:c r="G133" s="39" t="str">
        <x:v>(puste)</x:v>
      </x:c>
      <x:c r="H133" s="39" t="str">
        <x:v>230</x:v>
      </x:c>
      <x:c r="I133" s="39" t="str">
        <x:v>aktualny XML Kobi</x:v>
      </x:c>
      <x:c r="J133" s="39" t="str">
        <x:v>Napięcie zasilania</x:v>
      </x:c>
      <x:c r="K133" s="52" t="n">
        <x:v>0.97</x:v>
      </x:c>
      <x:c r="L133" s="53" t="str">
        <x:v>OK</x:v>
      </x:c>
      <x:c r="M133" s="53" t="str">
        <x:v>NIE</x:v>
      </x:c>
      <x:c r="N133" s="53" t="str">
        <x:v>Worksheet!AG34</x:v>
      </x:c>
    </x:row>
    <x:row r="134">
      <x:c r="A134" s="45" t="str">
        <x:v>134796</x:v>
      </x:c>
      <x:c r="B134" s="45" t="str">
        <x:v>001620/KOB</x:v>
      </x:c>
      <x:c r="C134" s="39" t="str">
        <x:v>Oprawa belka LED 40W 4000K 5200lm 120cm KOLINE K1 biała professional line Kobi KFKE40WNBBI</x:v>
      </x:c>
      <x:c r="D134" s="39" t="str">
        <x:v>Oprawy liniowe, belki</x:v>
      </x:c>
      <x:c r="E134" s="39" t="str">
        <x:v>Typ produktu</x:v>
      </x:c>
      <x:c r="F134" s="39" t="str">
        <x:v>Atrybut obowiązkowy</x:v>
      </x:c>
      <x:c r="G134" s="39" t="str">
        <x:v>(puste)</x:v>
      </x:c>
      <x:c r="H134" s="39" t="str">
        <x:v>Oprawa liniowa LED</x:v>
      </x:c>
      <x:c r="I134" s="39" t="str">
        <x:v>nazwa produktu w eksporcie WooCommerce</x:v>
      </x:c>
      <x:c r="J134" s="39" t="str">
        <x:v>kategoria + nazwa produktu</x:v>
      </x:c>
      <x:c r="K134" s="52" t="n">
        <x:v>0.94</x:v>
      </x:c>
      <x:c r="L134" s="53" t="str">
        <x:v>OK</x:v>
      </x:c>
      <x:c r="M134" s="53" t="str">
        <x:v>NIE</x:v>
      </x:c>
      <x:c r="N134" s="53" t="str">
        <x:v>Worksheet!Y34</x:v>
      </x:c>
    </x:row>
    <x:row r="135">
      <x:c r="A135" s="45" t="str">
        <x:v>134796</x:v>
      </x:c>
      <x:c r="B135" s="45" t="str">
        <x:v>001620/KOB</x:v>
      </x:c>
      <x:c r="C135" s="39" t="str">
        <x:v>Oprawa belka LED 40W 4000K 5200lm 120cm KOLINE K1 biała professional line Kobi KFKE40WNBBI</x:v>
      </x:c>
      <x:c r="D135" s="39" t="str">
        <x:v>Oprawy liniowe, belki</x:v>
      </x:c>
      <x:c r="E135" s="39" t="str">
        <x:v>Zasilanie</x:v>
      </x:c>
      <x:c r="F135" s="39" t="str">
        <x:v>Atrybut obowiązkowy</x:v>
      </x:c>
      <x:c r="G135" s="39" t="str">
        <x:v>(puste)</x:v>
      </x:c>
      <x:c r="H135" s="39" t="str">
        <x:v>Sieciowe</x:v>
      </x:c>
      <x:c r="I135" s="39" t="str">
        <x:v>kategoria + Kobi XML / nazwa produktu</x:v>
      </x:c>
      <x:c r="J135" s="39" t="str">
        <x:v>rodzaj zasilania</x:v>
      </x:c>
      <x:c r="K135" s="52" t="n">
        <x:v>0.96</x:v>
      </x:c>
      <x:c r="L135" s="53" t="str">
        <x:v>OK</x:v>
      </x:c>
      <x:c r="M135" s="53" t="str">
        <x:v>NIE</x:v>
      </x:c>
      <x:c r="N135" s="53" t="str">
        <x:v>Worksheet!S34</x:v>
      </x:c>
    </x:row>
    <x:row r="136">
      <x:c r="A136" s="45" t="str">
        <x:v>134796</x:v>
      </x:c>
      <x:c r="B136" s="45" t="str">
        <x:v>001620/KOB</x:v>
      </x:c>
      <x:c r="C136" s="39" t="str">
        <x:v>Oprawa belka LED 40W 4000K 5200lm 120cm KOLINE K1 biała professional line Kobi KFKE40WNBBI</x:v>
      </x:c>
      <x:c r="D136" s="39" t="str">
        <x:v>Oprawy liniowe, belki</x:v>
      </x:c>
      <x:c r="E136" s="39" t="str">
        <x:v>Źródło światła</x:v>
      </x:c>
      <x:c r="F136" s="39" t="str">
        <x:v>Atrybut obowiązkowy</x:v>
      </x:c>
      <x:c r="G136" s="39" t="str">
        <x:v>(puste)</x:v>
      </x:c>
      <x:c r="H136" s="39" t="str">
        <x:v>Zintegrowane</x:v>
      </x:c>
      <x:c r="I136" s="39" t="str">
        <x:v>Kobi XML + nazwa produktu</x:v>
      </x:c>
      <x:c r="J136" s="39" t="str">
        <x:v>LED w konstrukcji oprawy</x:v>
      </x:c>
      <x:c r="K136" s="52" t="n">
        <x:v>0.96</x:v>
      </x:c>
      <x:c r="L136" s="53" t="str">
        <x:v>OK</x:v>
      </x:c>
      <x:c r="M136" s="53" t="str">
        <x:v>NIE</x:v>
      </x:c>
      <x:c r="N136" s="53" t="str">
        <x:v>Worksheet!AL34</x:v>
      </x:c>
    </x:row>
    <x:row r="137">
      <x:c r="A137" s="45" t="str">
        <x:v>134805</x:v>
      </x:c>
      <x:c r="B137" s="45" t="str">
        <x:v>001840/KOB</x:v>
      </x:c>
      <x:c r="C137" s="39" t="str">
        <x:v>Oprawa przemysłowa HIGH BAY LED 100W 4000K 14000lm RIO PRO Kobi KFRP100NB</x:v>
      </x:c>
      <x:c r="D137" s="39" t="str">
        <x:v>High Bay</x:v>
      </x:c>
      <x:c r="E137" s="39" t="str">
        <x:v>Kąt świecenia [°]</x:v>
      </x:c>
      <x:c r="F137" s="39" t="str">
        <x:v>Atrybut dodatkowy potwierdzony</x:v>
      </x:c>
      <x:c r="G137" s="39" t="str">
        <x:v>(puste)</x:v>
      </x:c>
      <x:c r="H137" s="39" t="str">
        <x:v>120</x:v>
      </x:c>
      <x:c r="I137" s="39" t="str">
        <x:v>aktualny XML Kobi</x:v>
      </x:c>
      <x:c r="J137" s="39" t="str">
        <x:v>Kąt świecenia [°]</x:v>
      </x:c>
      <x:c r="K137" s="52" t="n">
        <x:v>0.97</x:v>
      </x:c>
      <x:c r="L137" s="53" t="str">
        <x:v>OK</x:v>
      </x:c>
      <x:c r="M137" s="53" t="str">
        <x:v>NIE</x:v>
      </x:c>
      <x:c r="N137" s="53" t="str">
        <x:v>Worksheet!W35</x:v>
      </x:c>
    </x:row>
    <x:row r="138">
      <x:c r="A138" s="45" t="str">
        <x:v>134805</x:v>
      </x:c>
      <x:c r="B138" s="45" t="str">
        <x:v>001840/KOB</x:v>
      </x:c>
      <x:c r="C138" s="39" t="str">
        <x:v>Oprawa przemysłowa HIGH BAY LED 100W 4000K 14000lm RIO PRO Kobi KFRP100NB</x:v>
      </x:c>
      <x:c r="D138" s="39" t="str">
        <x:v>High Bay</x:v>
      </x:c>
      <x:c r="E138" s="39" t="str">
        <x:v>Kolor</x:v>
      </x:c>
      <x:c r="F138" s="39" t="str">
        <x:v>Atrybut dodatkowy potwierdzony</x:v>
      </x:c>
      <x:c r="G138" s="39" t="str">
        <x:v>(puste)</x:v>
      </x:c>
      <x:c r="H138" s="39" t="str">
        <x:v>Czarny</x:v>
      </x:c>
      <x:c r="I138" s="39" t="str">
        <x:v>aktualny XML Kobi</x:v>
      </x:c>
      <x:c r="J138" s="39" t="str">
        <x:v>Kolor produktu</x:v>
      </x:c>
      <x:c r="K138" s="52" t="n">
        <x:v>0.97</x:v>
      </x:c>
      <x:c r="L138" s="53" t="str">
        <x:v>OK</x:v>
      </x:c>
      <x:c r="M138" s="53" t="str">
        <x:v>NIE</x:v>
      </x:c>
      <x:c r="N138" s="53" t="str">
        <x:v>Worksheet!T35</x:v>
      </x:c>
    </x:row>
    <x:row r="139">
      <x:c r="A139" s="45" t="str">
        <x:v>134805</x:v>
      </x:c>
      <x:c r="B139" s="45" t="str">
        <x:v>001840/KOB</x:v>
      </x:c>
      <x:c r="C139" s="39" t="str">
        <x:v>Oprawa przemysłowa HIGH BAY LED 100W 4000K 14000lm RIO PRO Kobi KFRP100NB</x:v>
      </x:c>
      <x:c r="D139" s="39" t="str">
        <x:v>High Bay</x:v>
      </x:c>
      <x:c r="E139" s="39" t="str">
        <x:v>Napięcie [V]</x:v>
      </x:c>
      <x:c r="F139" s="39" t="str">
        <x:v>Atrybut dodatkowy potwierdzony</x:v>
      </x:c>
      <x:c r="G139" s="39" t="str">
        <x:v>(puste)</x:v>
      </x:c>
      <x:c r="H139" s="39" t="str">
        <x:v>230</x:v>
      </x:c>
      <x:c r="I139" s="39" t="str">
        <x:v>aktualny XML Kobi</x:v>
      </x:c>
      <x:c r="J139" s="39" t="str">
        <x:v>Napięcie zasilania</x:v>
      </x:c>
      <x:c r="K139" s="52" t="n">
        <x:v>0.97</x:v>
      </x:c>
      <x:c r="L139" s="53" t="str">
        <x:v>OK</x:v>
      </x:c>
      <x:c r="M139" s="53" t="str">
        <x:v>NIE</x:v>
      </x:c>
      <x:c r="N139" s="53" t="str">
        <x:v>Worksheet!AG35</x:v>
      </x:c>
    </x:row>
    <x:row r="140">
      <x:c r="A140" s="45" t="str">
        <x:v>134805</x:v>
      </x:c>
      <x:c r="B140" s="45" t="str">
        <x:v>001840/KOB</x:v>
      </x:c>
      <x:c r="C140" s="39" t="str">
        <x:v>Oprawa przemysłowa HIGH BAY LED 100W 4000K 14000lm RIO PRO Kobi KFRP100NB</x:v>
      </x:c>
      <x:c r="D140" s="39" t="str">
        <x:v>High Bay</x:v>
      </x:c>
      <x:c r="E140" s="39" t="str">
        <x:v>Stopień ochrony [IP]</x:v>
      </x:c>
      <x:c r="F140" s="39" t="str">
        <x:v>Atrybut obowiązkowy</x:v>
      </x:c>
      <x:c r="G140" s="39" t="str">
        <x:v>(puste)</x:v>
      </x:c>
      <x:c r="H140" s="39" t="str">
        <x:v>IP 66</x:v>
      </x:c>
      <x:c r="I140" s="39" t="str">
        <x:v>aktualny XML Kobi</x:v>
      </x:c>
      <x:c r="J140" s="39" t="str">
        <x:v>IP</x:v>
      </x:c>
      <x:c r="K140" s="52" t="n">
        <x:v>0.97</x:v>
      </x:c>
      <x:c r="L140" s="53" t="str">
        <x:v>OK</x:v>
      </x:c>
      <x:c r="M140" s="53" t="str">
        <x:v>NIE</x:v>
      </x:c>
      <x:c r="N140" s="53" t="str">
        <x:v>Worksheet!Q35</x:v>
      </x:c>
    </x:row>
    <x:row r="141">
      <x:c r="A141" s="45" t="str">
        <x:v>134805</x:v>
      </x:c>
      <x:c r="B141" s="45" t="str">
        <x:v>001840/KOB</x:v>
      </x:c>
      <x:c r="C141" s="39" t="str">
        <x:v>Oprawa przemysłowa HIGH BAY LED 100W 4000K 14000lm RIO PRO Kobi KFRP100NB</x:v>
      </x:c>
      <x:c r="D141" s="39" t="str">
        <x:v>High Bay</x:v>
      </x:c>
      <x:c r="E141" s="39" t="str">
        <x:v>Stopień odporności [IK]</x:v>
      </x:c>
      <x:c r="F141" s="39" t="str">
        <x:v>Atrybut obowiązkowy</x:v>
      </x:c>
      <x:c r="G141" s="39" t="str">
        <x:v>(puste)</x:v>
      </x:c>
      <x:c r="H141" s="39" t="str">
        <x:v>IK10</x:v>
      </x:c>
      <x:c r="I141" s="39" t="str">
        <x:v>aktualny XML Kobi</x:v>
      </x:c>
      <x:c r="J141" s="39" t="str">
        <x:v>IK</x:v>
      </x:c>
      <x:c r="K141" s="52" t="n">
        <x:v>0.97</x:v>
      </x:c>
      <x:c r="L141" s="53" t="str">
        <x:v>OK</x:v>
      </x:c>
      <x:c r="M141" s="53" t="str">
        <x:v>NIE</x:v>
      </x:c>
      <x:c r="N141" s="53" t="str">
        <x:v>Worksheet!R35</x:v>
      </x:c>
    </x:row>
    <x:row r="142">
      <x:c r="A142" s="45" t="str">
        <x:v>134805</x:v>
      </x:c>
      <x:c r="B142" s="45" t="str">
        <x:v>001840/KOB</x:v>
      </x:c>
      <x:c r="C142" s="39" t="str">
        <x:v>Oprawa przemysłowa HIGH BAY LED 100W 4000K 14000lm RIO PRO Kobi KFRP100NB</x:v>
      </x:c>
      <x:c r="D142" s="39" t="str">
        <x:v>High Bay</x:v>
      </x:c>
      <x:c r="E142" s="39" t="str">
        <x:v>Typ produktu</x:v>
      </x:c>
      <x:c r="F142" s="39" t="str">
        <x:v>Atrybut obowiązkowy</x:v>
      </x:c>
      <x:c r="G142" s="39" t="str">
        <x:v>(puste)</x:v>
      </x:c>
      <x:c r="H142" s="39" t="str">
        <x:v>Oprawa High Bay LED</x:v>
      </x:c>
      <x:c r="I142" s="39" t="str">
        <x:v>aktualny XML Kobi</x:v>
      </x:c>
      <x:c r="J142" s="39" t="str">
        <x:v>typ wywnioskowany z nazwy producenta</x:v>
      </x:c>
      <x:c r="K142" s="52" t="n">
        <x:v>0.88</x:v>
      </x:c>
      <x:c r="L142" s="53" t="str">
        <x:v>WARNING</x:v>
      </x:c>
      <x:c r="M142" s="53" t="str">
        <x:v>NIE</x:v>
      </x:c>
      <x:c r="N142" s="53" t="str">
        <x:v>Worksheet!Y35</x:v>
      </x:c>
    </x:row>
    <x:row r="143">
      <x:c r="A143" s="45" t="str">
        <x:v>134836</x:v>
      </x:c>
      <x:c r="B143" s="45" t="str">
        <x:v>001841/KOB</x:v>
      </x:c>
      <x:c r="C143" s="39" t="str">
        <x:v>Oprawa przemysłowa LED HIGH BAY 150W 4000K 21000lm RIO PRO Kobi KFRP150NB</x:v>
      </x:c>
      <x:c r="D143" s="39" t="str">
        <x:v>High Bay</x:v>
      </x:c>
      <x:c r="E143" s="39" t="str">
        <x:v>Kąt świecenia [°]</x:v>
      </x:c>
      <x:c r="F143" s="39" t="str">
        <x:v>Atrybut dodatkowy potwierdzony</x:v>
      </x:c>
      <x:c r="G143" s="39" t="str">
        <x:v>(puste)</x:v>
      </x:c>
      <x:c r="H143" s="39" t="str">
        <x:v>120</x:v>
      </x:c>
      <x:c r="I143" s="39" t="str">
        <x:v>aktualny XML Kobi</x:v>
      </x:c>
      <x:c r="J143" s="39" t="str">
        <x:v>Kąt świecenia [°]</x:v>
      </x:c>
      <x:c r="K143" s="52" t="n">
        <x:v>0.97</x:v>
      </x:c>
      <x:c r="L143" s="53" t="str">
        <x:v>OK</x:v>
      </x:c>
      <x:c r="M143" s="53" t="str">
        <x:v>NIE</x:v>
      </x:c>
      <x:c r="N143" s="53" t="str">
        <x:v>Worksheet!W36</x:v>
      </x:c>
    </x:row>
    <x:row r="144">
      <x:c r="A144" s="45" t="str">
        <x:v>134836</x:v>
      </x:c>
      <x:c r="B144" s="45" t="str">
        <x:v>001841/KOB</x:v>
      </x:c>
      <x:c r="C144" s="39" t="str">
        <x:v>Oprawa przemysłowa LED HIGH BAY 150W 4000K 21000lm RIO PRO Kobi KFRP150NB</x:v>
      </x:c>
      <x:c r="D144" s="39" t="str">
        <x:v>High Bay</x:v>
      </x:c>
      <x:c r="E144" s="39" t="str">
        <x:v>Kolor</x:v>
      </x:c>
      <x:c r="F144" s="39" t="str">
        <x:v>Atrybut dodatkowy potwierdzony</x:v>
      </x:c>
      <x:c r="G144" s="39" t="str">
        <x:v>(puste)</x:v>
      </x:c>
      <x:c r="H144" s="39" t="str">
        <x:v>Czarny</x:v>
      </x:c>
      <x:c r="I144" s="39" t="str">
        <x:v>aktualny XML Kobi</x:v>
      </x:c>
      <x:c r="J144" s="39" t="str">
        <x:v>Kolor produktu</x:v>
      </x:c>
      <x:c r="K144" s="52" t="n">
        <x:v>0.97</x:v>
      </x:c>
      <x:c r="L144" s="53" t="str">
        <x:v>OK</x:v>
      </x:c>
      <x:c r="M144" s="53" t="str">
        <x:v>NIE</x:v>
      </x:c>
      <x:c r="N144" s="53" t="str">
        <x:v>Worksheet!T36</x:v>
      </x:c>
    </x:row>
    <x:row r="145">
      <x:c r="A145" s="45" t="str">
        <x:v>134836</x:v>
      </x:c>
      <x:c r="B145" s="45" t="str">
        <x:v>001841/KOB</x:v>
      </x:c>
      <x:c r="C145" s="39" t="str">
        <x:v>Oprawa przemysłowa LED HIGH BAY 150W 4000K 21000lm RIO PRO Kobi KFRP150NB</x:v>
      </x:c>
      <x:c r="D145" s="39" t="str">
        <x:v>High Bay</x:v>
      </x:c>
      <x:c r="E145" s="39" t="str">
        <x:v>Napięcie [V]</x:v>
      </x:c>
      <x:c r="F145" s="39" t="str">
        <x:v>Atrybut dodatkowy potwierdzony</x:v>
      </x:c>
      <x:c r="G145" s="39" t="str">
        <x:v>(puste)</x:v>
      </x:c>
      <x:c r="H145" s="39" t="str">
        <x:v>230</x:v>
      </x:c>
      <x:c r="I145" s="39" t="str">
        <x:v>aktualny XML Kobi</x:v>
      </x:c>
      <x:c r="J145" s="39" t="str">
        <x:v>Napięcie zasilania</x:v>
      </x:c>
      <x:c r="K145" s="52" t="n">
        <x:v>0.97</x:v>
      </x:c>
      <x:c r="L145" s="53" t="str">
        <x:v>OK</x:v>
      </x:c>
      <x:c r="M145" s="53" t="str">
        <x:v>NIE</x:v>
      </x:c>
      <x:c r="N145" s="53" t="str">
        <x:v>Worksheet!AG36</x:v>
      </x:c>
    </x:row>
    <x:row r="146">
      <x:c r="A146" s="45" t="str">
        <x:v>134836</x:v>
      </x:c>
      <x:c r="B146" s="45" t="str">
        <x:v>001841/KOB</x:v>
      </x:c>
      <x:c r="C146" s="39" t="str">
        <x:v>Oprawa przemysłowa LED HIGH BAY 150W 4000K 21000lm RIO PRO Kobi KFRP150NB</x:v>
      </x:c>
      <x:c r="D146" s="39" t="str">
        <x:v>High Bay</x:v>
      </x:c>
      <x:c r="E146" s="39" t="str">
        <x:v>Stopień ochrony [IP]</x:v>
      </x:c>
      <x:c r="F146" s="39" t="str">
        <x:v>Atrybut obowiązkowy</x:v>
      </x:c>
      <x:c r="G146" s="39" t="str">
        <x:v>(puste)</x:v>
      </x:c>
      <x:c r="H146" s="39" t="str">
        <x:v>IP 66</x:v>
      </x:c>
      <x:c r="I146" s="39" t="str">
        <x:v>aktualny XML Kobi</x:v>
      </x:c>
      <x:c r="J146" s="39" t="str">
        <x:v>IP</x:v>
      </x:c>
      <x:c r="K146" s="52" t="n">
        <x:v>0.97</x:v>
      </x:c>
      <x:c r="L146" s="53" t="str">
        <x:v>OK</x:v>
      </x:c>
      <x:c r="M146" s="53" t="str">
        <x:v>NIE</x:v>
      </x:c>
      <x:c r="N146" s="53" t="str">
        <x:v>Worksheet!Q36</x:v>
      </x:c>
    </x:row>
    <x:row r="147">
      <x:c r="A147" s="45" t="str">
        <x:v>134836</x:v>
      </x:c>
      <x:c r="B147" s="45" t="str">
        <x:v>001841/KOB</x:v>
      </x:c>
      <x:c r="C147" s="39" t="str">
        <x:v>Oprawa przemysłowa LED HIGH BAY 150W 4000K 21000lm RIO PRO Kobi KFRP150NB</x:v>
      </x:c>
      <x:c r="D147" s="39" t="str">
        <x:v>High Bay</x:v>
      </x:c>
      <x:c r="E147" s="39" t="str">
        <x:v>Stopień odporności [IK]</x:v>
      </x:c>
      <x:c r="F147" s="39" t="str">
        <x:v>Atrybut obowiązkowy</x:v>
      </x:c>
      <x:c r="G147" s="39" t="str">
        <x:v>(puste)</x:v>
      </x:c>
      <x:c r="H147" s="39" t="str">
        <x:v>IK10</x:v>
      </x:c>
      <x:c r="I147" s="39" t="str">
        <x:v>aktualny XML Kobi</x:v>
      </x:c>
      <x:c r="J147" s="39" t="str">
        <x:v>IK</x:v>
      </x:c>
      <x:c r="K147" s="52" t="n">
        <x:v>0.97</x:v>
      </x:c>
      <x:c r="L147" s="53" t="str">
        <x:v>OK</x:v>
      </x:c>
      <x:c r="M147" s="53" t="str">
        <x:v>NIE</x:v>
      </x:c>
      <x:c r="N147" s="53" t="str">
        <x:v>Worksheet!R36</x:v>
      </x:c>
    </x:row>
    <x:row r="148">
      <x:c r="A148" s="45" t="str">
        <x:v>134836</x:v>
      </x:c>
      <x:c r="B148" s="45" t="str">
        <x:v>001841/KOB</x:v>
      </x:c>
      <x:c r="C148" s="39" t="str">
        <x:v>Oprawa przemysłowa LED HIGH BAY 150W 4000K 21000lm RIO PRO Kobi KFRP150NB</x:v>
      </x:c>
      <x:c r="D148" s="39" t="str">
        <x:v>High Bay</x:v>
      </x:c>
      <x:c r="E148" s="39" t="str">
        <x:v>Typ produktu</x:v>
      </x:c>
      <x:c r="F148" s="39" t="str">
        <x:v>Atrybut obowiązkowy</x:v>
      </x:c>
      <x:c r="G148" s="39" t="str">
        <x:v>(puste)</x:v>
      </x:c>
      <x:c r="H148" s="39" t="str">
        <x:v>Oprawa High Bay LED</x:v>
      </x:c>
      <x:c r="I148" s="39" t="str">
        <x:v>aktualny XML Kobi</x:v>
      </x:c>
      <x:c r="J148" s="39" t="str">
        <x:v>typ wywnioskowany z nazwy producenta</x:v>
      </x:c>
      <x:c r="K148" s="52" t="n">
        <x:v>0.88</x:v>
      </x:c>
      <x:c r="L148" s="53" t="str">
        <x:v>WARNING</x:v>
      </x:c>
      <x:c r="M148" s="53" t="str">
        <x:v>NIE</x:v>
      </x:c>
      <x:c r="N148" s="53" t="str">
        <x:v>Worksheet!Y36</x:v>
      </x:c>
    </x:row>
    <x:row r="149">
      <x:c r="A149" s="45" t="str">
        <x:v>134854</x:v>
      </x:c>
      <x:c r="B149" s="45" t="str">
        <x:v>001843/KOB</x:v>
      </x:c>
      <x:c r="C149" s="39" t="str">
        <x:v>Oprawa przemysłowa LED HIGH BAY 200W 4000K 28000lm RIO PRO Kobi KFRP200NB</x:v>
      </x:c>
      <x:c r="D149" s="39" t="str">
        <x:v>High Bay</x:v>
      </x:c>
      <x:c r="E149" s="39" t="str">
        <x:v>Kąt świecenia [°]</x:v>
      </x:c>
      <x:c r="F149" s="39" t="str">
        <x:v>Atrybut dodatkowy potwierdzony</x:v>
      </x:c>
      <x:c r="G149" s="39" t="str">
        <x:v>(puste)</x:v>
      </x:c>
      <x:c r="H149" s="39" t="str">
        <x:v>120</x:v>
      </x:c>
      <x:c r="I149" s="39" t="str">
        <x:v>archiwalny XML Kobi</x:v>
      </x:c>
      <x:c r="J149" s="39" t="str">
        <x:v>Kąt świecenia [°]</x:v>
      </x:c>
      <x:c r="K149" s="52" t="n">
        <x:v>0.9</x:v>
      </x:c>
      <x:c r="L149" s="53" t="str">
        <x:v>WARNING</x:v>
      </x:c>
      <x:c r="M149" s="53" t="str">
        <x:v>NIE</x:v>
      </x:c>
      <x:c r="N149" s="53" t="str">
        <x:v>Worksheet!W37</x:v>
      </x:c>
    </x:row>
    <x:row r="150">
      <x:c r="A150" s="45" t="str">
        <x:v>134854</x:v>
      </x:c>
      <x:c r="B150" s="45" t="str">
        <x:v>001843/KOB</x:v>
      </x:c>
      <x:c r="C150" s="39" t="str">
        <x:v>Oprawa przemysłowa LED HIGH BAY 200W 4000K 28000lm RIO PRO Kobi KFRP200NB</x:v>
      </x:c>
      <x:c r="D150" s="39" t="str">
        <x:v>High Bay</x:v>
      </x:c>
      <x:c r="E150" s="39" t="str">
        <x:v>Kolor</x:v>
      </x:c>
      <x:c r="F150" s="39" t="str">
        <x:v>Atrybut dodatkowy potwierdzony</x:v>
      </x:c>
      <x:c r="G150" s="39" t="str">
        <x:v>(puste)</x:v>
      </x:c>
      <x:c r="H150" s="39" t="str">
        <x:v>Czarny</x:v>
      </x:c>
      <x:c r="I150" s="39" t="str">
        <x:v>archiwalny XML Kobi</x:v>
      </x:c>
      <x:c r="J150" s="39" t="str">
        <x:v>Kolor produktu</x:v>
      </x:c>
      <x:c r="K150" s="52" t="n">
        <x:v>0.9</x:v>
      </x:c>
      <x:c r="L150" s="53" t="str">
        <x:v>WARNING</x:v>
      </x:c>
      <x:c r="M150" s="53" t="str">
        <x:v>NIE</x:v>
      </x:c>
      <x:c r="N150" s="53" t="str">
        <x:v>Worksheet!T37</x:v>
      </x:c>
    </x:row>
    <x:row r="151">
      <x:c r="A151" s="45" t="str">
        <x:v>134854</x:v>
      </x:c>
      <x:c r="B151" s="45" t="str">
        <x:v>001843/KOB</x:v>
      </x:c>
      <x:c r="C151" s="39" t="str">
        <x:v>Oprawa przemysłowa LED HIGH BAY 200W 4000K 28000lm RIO PRO Kobi KFRP200NB</x:v>
      </x:c>
      <x:c r="D151" s="39" t="str">
        <x:v>High Bay</x:v>
      </x:c>
      <x:c r="E151" s="39" t="str">
        <x:v>Napięcie [V]</x:v>
      </x:c>
      <x:c r="F151" s="39" t="str">
        <x:v>Atrybut dodatkowy potwierdzony</x:v>
      </x:c>
      <x:c r="G151" s="39" t="str">
        <x:v>(puste)</x:v>
      </x:c>
      <x:c r="H151" s="39" t="str">
        <x:v>230</x:v>
      </x:c>
      <x:c r="I151" s="39" t="str">
        <x:v>archiwalny XML Kobi</x:v>
      </x:c>
      <x:c r="J151" s="39" t="str">
        <x:v>Napięcie zasilania</x:v>
      </x:c>
      <x:c r="K151" s="52" t="n">
        <x:v>0.9</x:v>
      </x:c>
      <x:c r="L151" s="53" t="str">
        <x:v>WARNING</x:v>
      </x:c>
      <x:c r="M151" s="53" t="str">
        <x:v>NIE</x:v>
      </x:c>
      <x:c r="N151" s="53" t="str">
        <x:v>Worksheet!AG37</x:v>
      </x:c>
    </x:row>
    <x:row r="152">
      <x:c r="A152" s="45" t="str">
        <x:v>134854</x:v>
      </x:c>
      <x:c r="B152" s="45" t="str">
        <x:v>001843/KOB</x:v>
      </x:c>
      <x:c r="C152" s="39" t="str">
        <x:v>Oprawa przemysłowa LED HIGH BAY 200W 4000K 28000lm RIO PRO Kobi KFRP200NB</x:v>
      </x:c>
      <x:c r="D152" s="39" t="str">
        <x:v>High Bay</x:v>
      </x:c>
      <x:c r="E152" s="39" t="str">
        <x:v>Stopień ochrony [IP]</x:v>
      </x:c>
      <x:c r="F152" s="39" t="str">
        <x:v>Atrybut obowiązkowy</x:v>
      </x:c>
      <x:c r="G152" s="39" t="str">
        <x:v>(puste)</x:v>
      </x:c>
      <x:c r="H152" s="39" t="str">
        <x:v>IP 66</x:v>
      </x:c>
      <x:c r="I152" s="39" t="str">
        <x:v>archiwalny XML Kobi</x:v>
      </x:c>
      <x:c r="J152" s="39" t="str">
        <x:v>IP</x:v>
      </x:c>
      <x:c r="K152" s="52" t="n">
        <x:v>0.9</x:v>
      </x:c>
      <x:c r="L152" s="53" t="str">
        <x:v>WARNING</x:v>
      </x:c>
      <x:c r="M152" s="53" t="str">
        <x:v>NIE</x:v>
      </x:c>
      <x:c r="N152" s="53" t="str">
        <x:v>Worksheet!Q37</x:v>
      </x:c>
    </x:row>
    <x:row r="153">
      <x:c r="A153" s="45" t="str">
        <x:v>134854</x:v>
      </x:c>
      <x:c r="B153" s="45" t="str">
        <x:v>001843/KOB</x:v>
      </x:c>
      <x:c r="C153" s="39" t="str">
        <x:v>Oprawa przemysłowa LED HIGH BAY 200W 4000K 28000lm RIO PRO Kobi KFRP200NB</x:v>
      </x:c>
      <x:c r="D153" s="39" t="str">
        <x:v>High Bay</x:v>
      </x:c>
      <x:c r="E153" s="39" t="str">
        <x:v>Stopień odporności [IK]</x:v>
      </x:c>
      <x:c r="F153" s="39" t="str">
        <x:v>Atrybut obowiązkowy</x:v>
      </x:c>
      <x:c r="G153" s="39" t="str">
        <x:v>(puste)</x:v>
      </x:c>
      <x:c r="H153" s="39" t="str">
        <x:v>IK10</x:v>
      </x:c>
      <x:c r="I153" s="39" t="str">
        <x:v>archiwalny XML Kobi</x:v>
      </x:c>
      <x:c r="J153" s="39" t="str">
        <x:v>IK</x:v>
      </x:c>
      <x:c r="K153" s="52" t="n">
        <x:v>0.9</x:v>
      </x:c>
      <x:c r="L153" s="53" t="str">
        <x:v>OK</x:v>
      </x:c>
      <x:c r="M153" s="53" t="str">
        <x:v>NIE</x:v>
      </x:c>
      <x:c r="N153" s="53" t="str">
        <x:v>Worksheet!R37</x:v>
      </x:c>
    </x:row>
    <x:row r="154">
      <x:c r="A154" s="45" t="str">
        <x:v>134854</x:v>
      </x:c>
      <x:c r="B154" s="45" t="str">
        <x:v>001843/KOB</x:v>
      </x:c>
      <x:c r="C154" s="39" t="str">
        <x:v>Oprawa przemysłowa LED HIGH BAY 200W 4000K 28000lm RIO PRO Kobi KFRP200NB</x:v>
      </x:c>
      <x:c r="D154" s="39" t="str">
        <x:v>High Bay</x:v>
      </x:c>
      <x:c r="E154" s="39" t="str">
        <x:v>Typ produktu</x:v>
      </x:c>
      <x:c r="F154" s="39" t="str">
        <x:v>Atrybut obowiązkowy</x:v>
      </x:c>
      <x:c r="G154" s="39" t="str">
        <x:v>(puste)</x:v>
      </x:c>
      <x:c r="H154" s="39" t="str">
        <x:v>Oprawa High Bay LED</x:v>
      </x:c>
      <x:c r="I154" s="39" t="str">
        <x:v>archiwalny XML Kobi</x:v>
      </x:c>
      <x:c r="J154" s="39" t="str">
        <x:v>typ wywnioskowany z nazwy producenta</x:v>
      </x:c>
      <x:c r="K154" s="52" t="n">
        <x:v>0.88</x:v>
      </x:c>
      <x:c r="L154" s="53" t="str">
        <x:v>WARNING</x:v>
      </x:c>
      <x:c r="M154" s="53" t="str">
        <x:v>NIE</x:v>
      </x:c>
      <x:c r="N154" s="53" t="str">
        <x:v>Worksheet!Y37</x:v>
      </x:c>
    </x:row>
    <x:row r="155">
      <x:c r="A155" s="45" t="str">
        <x:v>142490</x:v>
      </x:c>
      <x:c r="B155" s="45" t="str">
        <x:v>001431/KOB</x:v>
      </x:c>
      <x:c r="C155" s="39" t="str">
        <x:v>Latarka LED mini X-MPR MICRO IP44 370+280lm 500mAh 7 trybów Kobi 001431</x:v>
      </x:c>
      <x:c r="D155" s="39" t="str">
        <x:v>Latarki</x:v>
      </x:c>
      <x:c r="E155" s="39" t="str">
        <x:v>Kąt świecenia [°]</x:v>
      </x:c>
      <x:c r="F155" s="39" t="str">
        <x:v>Atrybut dodatkowy potwierdzony</x:v>
      </x:c>
      <x:c r="G155" s="39" t="str">
        <x:v>(puste)</x:v>
      </x:c>
      <x:c r="H155" s="39" t="str">
        <x:v>110</x:v>
      </x:c>
      <x:c r="I155" s="39" t="str">
        <x:v>aktualny XML Kobi</x:v>
      </x:c>
      <x:c r="J155" s="39" t="str">
        <x:v>Kąt świecenia [°]</x:v>
      </x:c>
      <x:c r="K155" s="52" t="n">
        <x:v>0.97</x:v>
      </x:c>
      <x:c r="L155" s="53" t="str">
        <x:v>OK</x:v>
      </x:c>
      <x:c r="M155" s="53" t="str">
        <x:v>NIE</x:v>
      </x:c>
      <x:c r="N155" s="53" t="str">
        <x:v>Worksheet!W38</x:v>
      </x:c>
    </x:row>
    <x:row r="156">
      <x:c r="A156" s="45" t="str">
        <x:v>142490</x:v>
      </x:c>
      <x:c r="B156" s="45" t="str">
        <x:v>001431/KOB</x:v>
      </x:c>
      <x:c r="C156" s="39" t="str">
        <x:v>Latarka LED mini X-MPR MICRO IP44 370+280lm 500mAh 7 trybów Kobi 001431</x:v>
      </x:c>
      <x:c r="D156" s="39" t="str">
        <x:v>Latarki</x:v>
      </x:c>
      <x:c r="E156" s="39" t="str">
        <x:v>Stopień ochrony [IP]</x:v>
      </x:c>
      <x:c r="F156" s="39" t="str">
        <x:v>Atrybut obowiązkowy</x:v>
      </x:c>
      <x:c r="G156" s="39" t="str">
        <x:v>(puste)</x:v>
      </x:c>
      <x:c r="H156" s="39" t="str">
        <x:v>IP 44</x:v>
      </x:c>
      <x:c r="I156" s="39" t="str">
        <x:v>nazwa produktu w eksporcie WooCommerce</x:v>
      </x:c>
      <x:c r="J156" s="39" t="str">
        <x:v>IP w nazwie</x:v>
      </x:c>
      <x:c r="K156" s="52" t="n">
        <x:v>0.97</x:v>
      </x:c>
      <x:c r="L156" s="53" t="str">
        <x:v>OK</x:v>
      </x:c>
      <x:c r="M156" s="53" t="str">
        <x:v>NIE</x:v>
      </x:c>
      <x:c r="N156" s="53" t="str">
        <x:v>Worksheet!Q38</x:v>
      </x:c>
    </x:row>
    <x:row r="157">
      <x:c r="A157" s="45" t="str">
        <x:v>142490</x:v>
      </x:c>
      <x:c r="B157" s="45" t="str">
        <x:v>001431/KOB</x:v>
      </x:c>
      <x:c r="C157" s="39" t="str">
        <x:v>Latarka LED mini X-MPR MICRO IP44 370+280lm 500mAh 7 trybów Kobi 001431</x:v>
      </x:c>
      <x:c r="D157" s="39" t="str">
        <x:v>Latarki</x:v>
      </x:c>
      <x:c r="E157" s="39" t="str">
        <x:v>Strumień świetlny [lm]</x:v>
      </x:c>
      <x:c r="F157" s="39" t="str">
        <x:v>Atrybut obowiązkowy</x:v>
      </x:c>
      <x:c r="G157" s="39" t="str">
        <x:v>(puste)</x:v>
      </x:c>
      <x:c r="H157" s="39" t="str">
        <x:v>550</x:v>
      </x:c>
      <x:c r="I157" s="39" t="str">
        <x:v>aktualny XML Kobi</x:v>
      </x:c>
      <x:c r="J157" s="39" t="str">
        <x:v>Strumień świetlny |lm|</x:v>
      </x:c>
      <x:c r="K157" s="52" t="n">
        <x:v>0.97</x:v>
      </x:c>
      <x:c r="L157" s="53" t="str">
        <x:v>OK</x:v>
      </x:c>
      <x:c r="M157" s="53" t="str">
        <x:v>NIE</x:v>
      </x:c>
      <x:c r="N157" s="53" t="str">
        <x:v>Worksheet!N38</x:v>
      </x:c>
    </x:row>
    <x:row r="158">
      <x:c r="A158" s="45" t="str">
        <x:v>142490</x:v>
      </x:c>
      <x:c r="B158" s="45" t="str">
        <x:v>001431/KOB</x:v>
      </x:c>
      <x:c r="C158" s="39" t="str">
        <x:v>Latarka LED mini X-MPR MICRO IP44 370+280lm 500mAh 7 trybów Kobi 001431</x:v>
      </x:c>
      <x:c r="D158" s="39" t="str">
        <x:v>Latarki</x:v>
      </x:c>
      <x:c r="E158" s="39" t="str">
        <x:v>Typ produktu</x:v>
      </x:c>
      <x:c r="F158" s="39" t="str">
        <x:v>Atrybut obowiązkowy</x:v>
      </x:c>
      <x:c r="G158" s="39" t="str">
        <x:v>(puste)</x:v>
      </x:c>
      <x:c r="H158" s="39" t="str">
        <x:v>Latarka LED</x:v>
      </x:c>
      <x:c r="I158" s="39" t="str">
        <x:v>Atrybut Produktu: Rodzaj</x:v>
      </x:c>
      <x:c r="J158" s="39" t="str">
        <x:v>kategoria + nazwa produktu</x:v>
      </x:c>
      <x:c r="K158" s="52" t="n">
        <x:v>0.99</x:v>
      </x:c>
      <x:c r="L158" s="53" t="str">
        <x:v>OK</x:v>
      </x:c>
      <x:c r="M158" s="53" t="str">
        <x:v>NIE</x:v>
      </x:c>
      <x:c r="N158" s="53" t="str">
        <x:v>Worksheet!Y38</x:v>
      </x:c>
    </x:row>
    <x:row r="159">
      <x:c r="A159" s="45" t="str">
        <x:v>142490</x:v>
      </x:c>
      <x:c r="B159" s="45" t="str">
        <x:v>001431/KOB</x:v>
      </x:c>
      <x:c r="C159" s="39" t="str">
        <x:v>Latarka LED mini X-MPR MICRO IP44 370+280lm 500mAh 7 trybów Kobi 001431</x:v>
      </x:c>
      <x:c r="D159" s="39" t="str">
        <x:v>Latarki</x:v>
      </x:c>
      <x:c r="E159" s="39" t="str">
        <x:v>Czas świecenia</x:v>
      </x:c>
      <x:c r="F159" s="39" t="str">
        <x:v>Atrybut obowiązkowy</x:v>
      </x:c>
      <x:c r="G159" s="39" t="str">
        <x:v>(puste)</x:v>
      </x:c>
      <x:c r="H159" s="39" t="str">
        <x:v>do 3 h</x:v>
      </x:c>
      <x:c r="I159" s="39" t="str">
        <x:v>https://b2b.kobi.pl/pl/product/9768%2Clatarka-led-x-mpr-micro-cct-led2b</x:v>
      </x:c>
      <x:c r="J159" s="39" t="str">
        <x:v>Czas świecenia</x:v>
      </x:c>
      <x:c r="K159" s="52" t="n">
        <x:v>0.99</x:v>
      </x:c>
      <x:c r="L159" s="53" t="str">
        <x:v>OK</x:v>
      </x:c>
      <x:c r="M159" s="53" t="str">
        <x:v>TAK</x:v>
      </x:c>
      <x:c r="N159" s="53" t="str">
        <x:v>Worksheet!AP38</x:v>
      </x:c>
    </x:row>
    <x:row r="160">
      <x:c r="A160" s="45" t="str">
        <x:v>142500</x:v>
      </x:c>
      <x:c r="B160" s="45" t="str">
        <x:v>001435/KOB</x:v>
      </x:c>
      <x:c r="C160" s="39" t="str">
        <x:v>Girlanda świetlna dekoracyjna 7,74m 10 kul 2500K LED VENEZIA Kobi 001435</x:v>
      </x:c>
      <x:c r="D160" s="39" t="str">
        <x:v>Girlandy</x:v>
      </x:c>
      <x:c r="E160" s="39" t="str">
        <x:v>Długość</x:v>
      </x:c>
      <x:c r="F160" s="39" t="str">
        <x:v>Atrybut obowiązkowy</x:v>
      </x:c>
      <x:c r="G160" s="39" t="str">
        <x:v>(puste)</x:v>
      </x:c>
      <x:c r="H160" s="39" t="str">
        <x:v>7.74 m</x:v>
      </x:c>
      <x:c r="I160" s="39" t="str">
        <x:v>nazwa produktu w eksporcie WooCommerce</x:v>
      </x:c>
      <x:c r="J160" s="39" t="str">
        <x:v>wymiar w nazwie</x:v>
      </x:c>
      <x:c r="K160" s="52" t="n">
        <x:v>0.96</x:v>
      </x:c>
      <x:c r="L160" s="53" t="str">
        <x:v>OK</x:v>
      </x:c>
      <x:c r="M160" s="53" t="str">
        <x:v>NIE</x:v>
      </x:c>
      <x:c r="N160" s="53" t="str">
        <x:v>Worksheet!AA39</x:v>
      </x:c>
    </x:row>
    <x:row r="161">
      <x:c r="A161" s="45" t="str">
        <x:v>142500</x:v>
      </x:c>
      <x:c r="B161" s="45" t="str">
        <x:v>001435/KOB</x:v>
      </x:c>
      <x:c r="C161" s="39" t="str">
        <x:v>Girlanda świetlna dekoracyjna 7,74m 10 kul 2500K LED VENEZIA Kobi 001435</x:v>
      </x:c>
      <x:c r="D161" s="39" t="str">
        <x:v>Girlandy</x:v>
      </x:c>
      <x:c r="E161" s="39" t="str">
        <x:v>Kolor</x:v>
      </x:c>
      <x:c r="F161" s="39" t="str">
        <x:v>Atrybut obowiązkowy</x:v>
      </x:c>
      <x:c r="G161" s="39" t="str">
        <x:v>(puste)</x:v>
      </x:c>
      <x:c r="H161" s="39" t="str">
        <x:v>Biały</x:v>
      </x:c>
      <x:c r="I161" s="39" t="str">
        <x:v>aktualny XML Kobi</x:v>
      </x:c>
      <x:c r="J161" s="39" t="str">
        <x:v>Kolor produktu</x:v>
      </x:c>
      <x:c r="K161" s="52" t="n">
        <x:v>0.97</x:v>
      </x:c>
      <x:c r="L161" s="53" t="str">
        <x:v>OK</x:v>
      </x:c>
      <x:c r="M161" s="53" t="str">
        <x:v>NIE</x:v>
      </x:c>
      <x:c r="N161" s="53" t="str">
        <x:v>Worksheet!T39</x:v>
      </x:c>
    </x:row>
    <x:row r="162">
      <x:c r="A162" s="45" t="str">
        <x:v>142500</x:v>
      </x:c>
      <x:c r="B162" s="45" t="str">
        <x:v>001435/KOB</x:v>
      </x:c>
      <x:c r="C162" s="39" t="str">
        <x:v>Girlanda świetlna dekoracyjna 7,74m 10 kul 2500K LED VENEZIA Kobi 001435</x:v>
      </x:c>
      <x:c r="D162" s="39" t="str">
        <x:v>Girlandy</x:v>
      </x:c>
      <x:c r="E162" s="39" t="str">
        <x:v>Liczba źródeł światła</x:v>
      </x:c>
      <x:c r="F162" s="39" t="str">
        <x:v>Atrybut obowiązkowy</x:v>
      </x:c>
      <x:c r="G162" s="39" t="str">
        <x:v>(puste)</x:v>
      </x:c>
      <x:c r="H162" s="39" t="str">
        <x:v>10</x:v>
      </x:c>
      <x:c r="I162" s="39" t="str">
        <x:v>nazwa produktu w eksporcie WooCommerce</x:v>
      </x:c>
      <x:c r="J162" s="39" t="str">
        <x:v>10 kul w nazwie</x:v>
      </x:c>
      <x:c r="K162" s="52" t="n">
        <x:v>0.98</x:v>
      </x:c>
      <x:c r="L162" s="53" t="str">
        <x:v>OK</x:v>
      </x:c>
      <x:c r="M162" s="53" t="str">
        <x:v>NIE</x:v>
      </x:c>
      <x:c r="N162" s="53" t="str">
        <x:v>Worksheet!AK39</x:v>
      </x:c>
    </x:row>
    <x:row r="163">
      <x:c r="A163" s="45" t="str">
        <x:v>142500</x:v>
      </x:c>
      <x:c r="B163" s="45" t="str">
        <x:v>001435/KOB</x:v>
      </x:c>
      <x:c r="C163" s="39" t="str">
        <x:v>Girlanda świetlna dekoracyjna 7,74m 10 kul 2500K LED VENEZIA Kobi 001435</x:v>
      </x:c>
      <x:c r="D163" s="39" t="str">
        <x:v>Girlandy</x:v>
      </x:c>
      <x:c r="E163" s="39" t="str">
        <x:v>Moc [W]</x:v>
      </x:c>
      <x:c r="F163" s="39" t="str">
        <x:v>Atrybut dodatkowy potwierdzony</x:v>
      </x:c>
      <x:c r="G163" s="39" t="str">
        <x:v>(puste)</x:v>
      </x:c>
      <x:c r="H163" s="39" t="str">
        <x:v>10</x:v>
      </x:c>
      <x:c r="I163" s="39" t="str">
        <x:v>aktualny XML Kobi</x:v>
      </x:c>
      <x:c r="J163" s="39" t="str">
        <x:v>Moc [W]</x:v>
      </x:c>
      <x:c r="K163" s="52" t="n">
        <x:v>0.97</x:v>
      </x:c>
      <x:c r="L163" s="53" t="str">
        <x:v>OK</x:v>
      </x:c>
      <x:c r="M163" s="53" t="str">
        <x:v>NIE</x:v>
      </x:c>
      <x:c r="N163" s="53" t="str">
        <x:v>Worksheet!M39</x:v>
      </x:c>
    </x:row>
    <x:row r="164">
      <x:c r="A164" s="45" t="str">
        <x:v>142500</x:v>
      </x:c>
      <x:c r="B164" s="45" t="str">
        <x:v>001435/KOB</x:v>
      </x:c>
      <x:c r="C164" s="39" t="str">
        <x:v>Girlanda świetlna dekoracyjna 7,74m 10 kul 2500K LED VENEZIA Kobi 001435</x:v>
      </x:c>
      <x:c r="D164" s="39" t="str">
        <x:v>Girlandy</x:v>
      </x:c>
      <x:c r="E164" s="39" t="str">
        <x:v>Napięcie [V]</x:v>
      </x:c>
      <x:c r="F164" s="39" t="str">
        <x:v>Atrybut dodatkowy potwierdzony</x:v>
      </x:c>
      <x:c r="G164" s="39" t="str">
        <x:v>(puste)</x:v>
      </x:c>
      <x:c r="H164" s="39" t="str">
        <x:v>230</x:v>
      </x:c>
      <x:c r="I164" s="39" t="str">
        <x:v>aktualny XML Kobi</x:v>
      </x:c>
      <x:c r="J164" s="39" t="str">
        <x:v>Napięcie zasilania</x:v>
      </x:c>
      <x:c r="K164" s="52" t="n">
        <x:v>0.97</x:v>
      </x:c>
      <x:c r="L164" s="53" t="str">
        <x:v>OK</x:v>
      </x:c>
      <x:c r="M164" s="53" t="str">
        <x:v>NIE</x:v>
      </x:c>
      <x:c r="N164" s="53" t="str">
        <x:v>Worksheet!AG39</x:v>
      </x:c>
    </x:row>
    <x:row r="165">
      <x:c r="A165" s="45" t="str">
        <x:v>142500</x:v>
      </x:c>
      <x:c r="B165" s="45" t="str">
        <x:v>001435/KOB</x:v>
      </x:c>
      <x:c r="C165" s="39" t="str">
        <x:v>Girlanda świetlna dekoracyjna 7,74m 10 kul 2500K LED VENEZIA Kobi 001435</x:v>
      </x:c>
      <x:c r="D165" s="39" t="str">
        <x:v>Girlandy</x:v>
      </x:c>
      <x:c r="E165" s="39" t="str">
        <x:v>Strumień świetlny [lm]</x:v>
      </x:c>
      <x:c r="F165" s="39" t="str">
        <x:v>Atrybut dodatkowy potwierdzony</x:v>
      </x:c>
      <x:c r="G165" s="39" t="str">
        <x:v>(puste)</x:v>
      </x:c>
      <x:c r="H165" s="39" t="str">
        <x:v>700</x:v>
      </x:c>
      <x:c r="I165" s="39" t="str">
        <x:v>aktualny XML Kobi</x:v>
      </x:c>
      <x:c r="J165" s="39" t="str">
        <x:v>Strumień świetlny |lm|</x:v>
      </x:c>
      <x:c r="K165" s="52" t="n">
        <x:v>0.97</x:v>
      </x:c>
      <x:c r="L165" s="53" t="str">
        <x:v>OK</x:v>
      </x:c>
      <x:c r="M165" s="53" t="str">
        <x:v>NIE</x:v>
      </x:c>
      <x:c r="N165" s="53" t="str">
        <x:v>Worksheet!N39</x:v>
      </x:c>
    </x:row>
    <x:row r="166">
      <x:c r="A166" s="45" t="str">
        <x:v>142500</x:v>
      </x:c>
      <x:c r="B166" s="45" t="str">
        <x:v>001435/KOB</x:v>
      </x:c>
      <x:c r="C166" s="39" t="str">
        <x:v>Girlanda świetlna dekoracyjna 7,74m 10 kul 2500K LED VENEZIA Kobi 001435</x:v>
      </x:c>
      <x:c r="D166" s="39" t="str">
        <x:v>Girlandy</x:v>
      </x:c>
      <x:c r="E166" s="39" t="str">
        <x:v>Typ produktu</x:v>
      </x:c>
      <x:c r="F166" s="39" t="str">
        <x:v>Atrybut obowiązkowy</x:v>
      </x:c>
      <x:c r="G166" s="39" t="str">
        <x:v>(puste)</x:v>
      </x:c>
      <x:c r="H166" s="39" t="str">
        <x:v>Girlanda świetlna LED</x:v>
      </x:c>
      <x:c r="I166" s="39" t="str">
        <x:v>nazwa produktu w eksporcie WooCommerce</x:v>
      </x:c>
      <x:c r="J166" s="39" t="str">
        <x:v>kategoria + nazwa produktu</x:v>
      </x:c>
      <x:c r="K166" s="52" t="n">
        <x:v>0.94</x:v>
      </x:c>
      <x:c r="L166" s="53" t="str">
        <x:v>OK</x:v>
      </x:c>
      <x:c r="M166" s="53" t="str">
        <x:v>NIE</x:v>
      </x:c>
      <x:c r="N166" s="53" t="str">
        <x:v>Worksheet!Y39</x:v>
      </x:c>
    </x:row>
    <x:row r="167">
      <x:c r="A167" s="45" t="str">
        <x:v>142500</x:v>
      </x:c>
      <x:c r="B167" s="45" t="str">
        <x:v>001435/KOB</x:v>
      </x:c>
      <x:c r="C167" s="39" t="str">
        <x:v>Girlanda świetlna dekoracyjna 7,74m 10 kul 2500K LED VENEZIA Kobi 001435</x:v>
      </x:c>
      <x:c r="D167" s="39" t="str">
        <x:v>Girlandy</x:v>
      </x:c>
      <x:c r="E167" s="39" t="str">
        <x:v>Zasilanie</x:v>
      </x:c>
      <x:c r="F167" s="39" t="str">
        <x:v>Atrybut obowiązkowy</x:v>
      </x:c>
      <x:c r="G167" s="39" t="str">
        <x:v>(puste)</x:v>
      </x:c>
      <x:c r="H167" s="39" t="str">
        <x:v>Sieciowe</x:v>
      </x:c>
      <x:c r="I167" s="39" t="str">
        <x:v>kategoria + Kobi XML / nazwa produktu</x:v>
      </x:c>
      <x:c r="J167" s="39" t="str">
        <x:v>rodzaj zasilania</x:v>
      </x:c>
      <x:c r="K167" s="52" t="n">
        <x:v>0.96</x:v>
      </x:c>
      <x:c r="L167" s="53" t="str">
        <x:v>OK</x:v>
      </x:c>
      <x:c r="M167" s="53" t="str">
        <x:v>NIE</x:v>
      </x:c>
      <x:c r="N167" s="53" t="str">
        <x:v>Worksheet!S39</x:v>
      </x:c>
    </x:row>
    <x:row r="168">
      <x:c r="A168" s="45" t="str">
        <x:v>142506</x:v>
      </x:c>
      <x:c r="B168" s="45" t="str">
        <x:v>003671/KOB</x:v>
      </x:c>
      <x:c r="C168" s="39" t="str">
        <x:v>Oprawa hermetyczna LED CORTEZ 18W 2160lm 4000K 62,5cm IP65 Kobi 003671</x:v>
      </x:c>
      <x:c r="D168" s="39" t="str">
        <x:v>Oprawy hermetyczne</x:v>
      </x:c>
      <x:c r="E168" s="39" t="str">
        <x:v>Kąt świecenia [°]</x:v>
      </x:c>
      <x:c r="F168" s="39" t="str">
        <x:v>Atrybut dodatkowy potwierdzony</x:v>
      </x:c>
      <x:c r="G168" s="39" t="str">
        <x:v>(puste)</x:v>
      </x:c>
      <x:c r="H168" s="39" t="str">
        <x:v>120</x:v>
      </x:c>
      <x:c r="I168" s="39" t="str">
        <x:v>aktualny XML Kobi</x:v>
      </x:c>
      <x:c r="J168" s="39" t="str">
        <x:v>Kąt świecenia [°]</x:v>
      </x:c>
      <x:c r="K168" s="52" t="n">
        <x:v>0.97</x:v>
      </x:c>
      <x:c r="L168" s="53" t="str">
        <x:v>OK</x:v>
      </x:c>
      <x:c r="M168" s="53" t="str">
        <x:v>NIE</x:v>
      </x:c>
      <x:c r="N168" s="53" t="str">
        <x:v>Worksheet!W40</x:v>
      </x:c>
    </x:row>
    <x:row r="169">
      <x:c r="A169" s="45" t="str">
        <x:v>142506</x:v>
      </x:c>
      <x:c r="B169" s="45" t="str">
        <x:v>003671/KOB</x:v>
      </x:c>
      <x:c r="C169" s="39" t="str">
        <x:v>Oprawa hermetyczna LED CORTEZ 18W 2160lm 4000K 62,5cm IP65 Kobi 003671</x:v>
      </x:c>
      <x:c r="D169" s="39" t="str">
        <x:v>Oprawy hermetyczne</x:v>
      </x:c>
      <x:c r="E169" s="39" t="str">
        <x:v>Kolor</x:v>
      </x:c>
      <x:c r="F169" s="39" t="str">
        <x:v>Atrybut dodatkowy potwierdzony</x:v>
      </x:c>
      <x:c r="G169" s="39" t="str">
        <x:v>(puste)</x:v>
      </x:c>
      <x:c r="H169" s="39" t="str">
        <x:v>Biały</x:v>
      </x:c>
      <x:c r="I169" s="39" t="str">
        <x:v>aktualny XML Kobi</x:v>
      </x:c>
      <x:c r="J169" s="39" t="str">
        <x:v>Kolor produktu</x:v>
      </x:c>
      <x:c r="K169" s="52" t="n">
        <x:v>0.97</x:v>
      </x:c>
      <x:c r="L169" s="53" t="str">
        <x:v>OK</x:v>
      </x:c>
      <x:c r="M169" s="53" t="str">
        <x:v>NIE</x:v>
      </x:c>
      <x:c r="N169" s="53" t="str">
        <x:v>Worksheet!T40</x:v>
      </x:c>
    </x:row>
    <x:row r="170">
      <x:c r="A170" s="45" t="str">
        <x:v>142506</x:v>
      </x:c>
      <x:c r="B170" s="45" t="str">
        <x:v>003671/KOB</x:v>
      </x:c>
      <x:c r="C170" s="39" t="str">
        <x:v>Oprawa hermetyczna LED CORTEZ 18W 2160lm 4000K 62,5cm IP65 Kobi 003671</x:v>
      </x:c>
      <x:c r="D170" s="39" t="str">
        <x:v>Oprawy hermetyczne</x:v>
      </x:c>
      <x:c r="E170" s="39" t="str">
        <x:v>Napięcie [V]</x:v>
      </x:c>
      <x:c r="F170" s="39" t="str">
        <x:v>Atrybut dodatkowy potwierdzony</x:v>
      </x:c>
      <x:c r="G170" s="39" t="str">
        <x:v>(puste)</x:v>
      </x:c>
      <x:c r="H170" s="39" t="str">
        <x:v>230</x:v>
      </x:c>
      <x:c r="I170" s="39" t="str">
        <x:v>aktualny XML Kobi</x:v>
      </x:c>
      <x:c r="J170" s="39" t="str">
        <x:v>Napięcie zasilania</x:v>
      </x:c>
      <x:c r="K170" s="52" t="n">
        <x:v>0.97</x:v>
      </x:c>
      <x:c r="L170" s="53" t="str">
        <x:v>OK</x:v>
      </x:c>
      <x:c r="M170" s="53" t="str">
        <x:v>NIE</x:v>
      </x:c>
      <x:c r="N170" s="53" t="str">
        <x:v>Worksheet!AG40</x:v>
      </x:c>
    </x:row>
    <x:row r="171">
      <x:c r="A171" s="45" t="str">
        <x:v>142506</x:v>
      </x:c>
      <x:c r="B171" s="45" t="str">
        <x:v>003671/KOB</x:v>
      </x:c>
      <x:c r="C171" s="39" t="str">
        <x:v>Oprawa hermetyczna LED CORTEZ 18W 2160lm 4000K 62,5cm IP65 Kobi 003671</x:v>
      </x:c>
      <x:c r="D171" s="39" t="str">
        <x:v>Oprawy hermetyczne</x:v>
      </x:c>
      <x:c r="E171" s="39" t="str">
        <x:v>Typ produktu</x:v>
      </x:c>
      <x:c r="F171" s="39" t="str">
        <x:v>Atrybut obowiązkowy</x:v>
      </x:c>
      <x:c r="G171" s="39" t="str">
        <x:v>(puste)</x:v>
      </x:c>
      <x:c r="H171" s="39" t="str">
        <x:v>Oprawa hermetyczna</x:v>
      </x:c>
      <x:c r="I171" s="39" t="str">
        <x:v>aktualny XML Kobi</x:v>
      </x:c>
      <x:c r="J171" s="39" t="str">
        <x:v>typ wywnioskowany z nazwy producenta</x:v>
      </x:c>
      <x:c r="K171" s="52" t="n">
        <x:v>0.88</x:v>
      </x:c>
      <x:c r="L171" s="53" t="str">
        <x:v>WARNING</x:v>
      </x:c>
      <x:c r="M171" s="53" t="str">
        <x:v>NIE</x:v>
      </x:c>
      <x:c r="N171" s="53" t="str">
        <x:v>Worksheet!Y40</x:v>
      </x:c>
    </x:row>
    <x:row r="172">
      <x:c r="A172" s="45" t="str">
        <x:v>142506</x:v>
      </x:c>
      <x:c r="B172" s="45" t="str">
        <x:v>003671/KOB</x:v>
      </x:c>
      <x:c r="C172" s="39" t="str">
        <x:v>Oprawa hermetyczna LED CORTEZ 18W 2160lm 4000K 62,5cm IP65 Kobi 003671</x:v>
      </x:c>
      <x:c r="D172" s="39" t="str">
        <x:v>Oprawy hermetyczne</x:v>
      </x:c>
      <x:c r="E172" s="39" t="str">
        <x:v>Źródło światła</x:v>
      </x:c>
      <x:c r="F172" s="39" t="str">
        <x:v>Atrybut obowiązkowy</x:v>
      </x:c>
      <x:c r="G172" s="39" t="str">
        <x:v>(puste)</x:v>
      </x:c>
      <x:c r="H172" s="39" t="str">
        <x:v>Zintegrowane</x:v>
      </x:c>
      <x:c r="I172" s="39" t="str">
        <x:v>Kobi XML + nazwa produktu</x:v>
      </x:c>
      <x:c r="J172" s="39" t="str">
        <x:v>LED w konstrukcji oprawy</x:v>
      </x:c>
      <x:c r="K172" s="52" t="n">
        <x:v>0.96</x:v>
      </x:c>
      <x:c r="L172" s="53" t="str">
        <x:v>OK</x:v>
      </x:c>
      <x:c r="M172" s="53" t="str">
        <x:v>NIE</x:v>
      </x:c>
      <x:c r="N172" s="53" t="str">
        <x:v>Worksheet!AL40</x:v>
      </x:c>
    </x:row>
    <x:row r="173">
      <x:c r="A173" s="45" t="str">
        <x:v>142510</x:v>
      </x:c>
      <x:c r="B173" s="45" t="str">
        <x:v>003672/KOB</x:v>
      </x:c>
      <x:c r="C173" s="39" t="str">
        <x:v>Oprawa hermetyczna LED CORTEZ 36W 4320lm 4000K 122,5cm IP65 Kobi 003672</x:v>
      </x:c>
      <x:c r="D173" s="39" t="str">
        <x:v>Oprawy hermetyczne</x:v>
      </x:c>
      <x:c r="E173" s="39" t="str">
        <x:v>Długość</x:v>
      </x:c>
      <x:c r="F173" s="39" t="str">
        <x:v>Atrybut obowiązkowy</x:v>
      </x:c>
      <x:c r="G173" s="39" t="str">
        <x:v>(puste)</x:v>
      </x:c>
      <x:c r="H173" s="39" t="str">
        <x:v>122.5 cm</x:v>
      </x:c>
      <x:c r="I173" s="39" t="str">
        <x:v>nazwa produktu w eksporcie WooCommerce</x:v>
      </x:c>
      <x:c r="J173" s="39" t="str">
        <x:v>wymiar w nazwie</x:v>
      </x:c>
      <x:c r="K173" s="52" t="n">
        <x:v>0.96</x:v>
      </x:c>
      <x:c r="L173" s="53" t="str">
        <x:v>OK</x:v>
      </x:c>
      <x:c r="M173" s="53" t="str">
        <x:v>NIE</x:v>
      </x:c>
      <x:c r="N173" s="53" t="str">
        <x:v>Worksheet!AA41</x:v>
      </x:c>
    </x:row>
    <x:row r="174">
      <x:c r="A174" s="45" t="str">
        <x:v>142510</x:v>
      </x:c>
      <x:c r="B174" s="45" t="str">
        <x:v>003672/KOB</x:v>
      </x:c>
      <x:c r="C174" s="39" t="str">
        <x:v>Oprawa hermetyczna LED CORTEZ 36W 4320lm 4000K 122,5cm IP65 Kobi 003672</x:v>
      </x:c>
      <x:c r="D174" s="39" t="str">
        <x:v>Oprawy hermetyczne</x:v>
      </x:c>
      <x:c r="E174" s="39" t="str">
        <x:v>Kąt świecenia [°]</x:v>
      </x:c>
      <x:c r="F174" s="39" t="str">
        <x:v>Atrybut dodatkowy potwierdzony</x:v>
      </x:c>
      <x:c r="G174" s="39" t="str">
        <x:v>(puste)</x:v>
      </x:c>
      <x:c r="H174" s="39" t="str">
        <x:v>120</x:v>
      </x:c>
      <x:c r="I174" s="39" t="str">
        <x:v>aktualny XML Kobi</x:v>
      </x:c>
      <x:c r="J174" s="39" t="str">
        <x:v>Kąt świecenia [°]</x:v>
      </x:c>
      <x:c r="K174" s="52" t="n">
        <x:v>0.97</x:v>
      </x:c>
      <x:c r="L174" s="53" t="str">
        <x:v>OK</x:v>
      </x:c>
      <x:c r="M174" s="53" t="str">
        <x:v>NIE</x:v>
      </x:c>
      <x:c r="N174" s="53" t="str">
        <x:v>Worksheet!W41</x:v>
      </x:c>
    </x:row>
    <x:row r="175">
      <x:c r="A175" s="45" t="str">
        <x:v>142510</x:v>
      </x:c>
      <x:c r="B175" s="45" t="str">
        <x:v>003672/KOB</x:v>
      </x:c>
      <x:c r="C175" s="39" t="str">
        <x:v>Oprawa hermetyczna LED CORTEZ 36W 4320lm 4000K 122,5cm IP65 Kobi 003672</x:v>
      </x:c>
      <x:c r="D175" s="39" t="str">
        <x:v>Oprawy hermetyczne</x:v>
      </x:c>
      <x:c r="E175" s="39" t="str">
        <x:v>Kolor</x:v>
      </x:c>
      <x:c r="F175" s="39" t="str">
        <x:v>Atrybut dodatkowy potwierdzony</x:v>
      </x:c>
      <x:c r="G175" s="39" t="str">
        <x:v>(puste)</x:v>
      </x:c>
      <x:c r="H175" s="39" t="str">
        <x:v>Biały</x:v>
      </x:c>
      <x:c r="I175" s="39" t="str">
        <x:v>aktualny XML Kobi</x:v>
      </x:c>
      <x:c r="J175" s="39" t="str">
        <x:v>Kolor produktu</x:v>
      </x:c>
      <x:c r="K175" s="52" t="n">
        <x:v>0.97</x:v>
      </x:c>
      <x:c r="L175" s="53" t="str">
        <x:v>OK</x:v>
      </x:c>
      <x:c r="M175" s="53" t="str">
        <x:v>NIE</x:v>
      </x:c>
      <x:c r="N175" s="53" t="str">
        <x:v>Worksheet!T41</x:v>
      </x:c>
    </x:row>
    <x:row r="176">
      <x:c r="A176" s="45" t="str">
        <x:v>142510</x:v>
      </x:c>
      <x:c r="B176" s="45" t="str">
        <x:v>003672/KOB</x:v>
      </x:c>
      <x:c r="C176" s="39" t="str">
        <x:v>Oprawa hermetyczna LED CORTEZ 36W 4320lm 4000K 122,5cm IP65 Kobi 003672</x:v>
      </x:c>
      <x:c r="D176" s="39" t="str">
        <x:v>Oprawy hermetyczne</x:v>
      </x:c>
      <x:c r="E176" s="39" t="str">
        <x:v>Napięcie [V]</x:v>
      </x:c>
      <x:c r="F176" s="39" t="str">
        <x:v>Atrybut dodatkowy potwierdzony</x:v>
      </x:c>
      <x:c r="G176" s="39" t="str">
        <x:v>(puste)</x:v>
      </x:c>
      <x:c r="H176" s="39" t="str">
        <x:v>230</x:v>
      </x:c>
      <x:c r="I176" s="39" t="str">
        <x:v>aktualny XML Kobi</x:v>
      </x:c>
      <x:c r="J176" s="39" t="str">
        <x:v>Napięcie zasilania</x:v>
      </x:c>
      <x:c r="K176" s="52" t="n">
        <x:v>0.97</x:v>
      </x:c>
      <x:c r="L176" s="53" t="str">
        <x:v>OK</x:v>
      </x:c>
      <x:c r="M176" s="53" t="str">
        <x:v>NIE</x:v>
      </x:c>
      <x:c r="N176" s="53" t="str">
        <x:v>Worksheet!AG41</x:v>
      </x:c>
    </x:row>
    <x:row r="177">
      <x:c r="A177" s="45" t="str">
        <x:v>142510</x:v>
      </x:c>
      <x:c r="B177" s="45" t="str">
        <x:v>003672/KOB</x:v>
      </x:c>
      <x:c r="C177" s="39" t="str">
        <x:v>Oprawa hermetyczna LED CORTEZ 36W 4320lm 4000K 122,5cm IP65 Kobi 003672</x:v>
      </x:c>
      <x:c r="D177" s="39" t="str">
        <x:v>Oprawy hermetyczne</x:v>
      </x:c>
      <x:c r="E177" s="39" t="str">
        <x:v>Typ produktu</x:v>
      </x:c>
      <x:c r="F177" s="39" t="str">
        <x:v>Atrybut obowiązkowy</x:v>
      </x:c>
      <x:c r="G177" s="39" t="str">
        <x:v>(puste)</x:v>
      </x:c>
      <x:c r="H177" s="39" t="str">
        <x:v>Oprawa hermetyczna</x:v>
      </x:c>
      <x:c r="I177" s="39" t="str">
        <x:v>aktualny XML Kobi</x:v>
      </x:c>
      <x:c r="J177" s="39" t="str">
        <x:v>typ wywnioskowany z nazwy producenta</x:v>
      </x:c>
      <x:c r="K177" s="52" t="n">
        <x:v>0.88</x:v>
      </x:c>
      <x:c r="L177" s="53" t="str">
        <x:v>WARNING</x:v>
      </x:c>
      <x:c r="M177" s="53" t="str">
        <x:v>NIE</x:v>
      </x:c>
      <x:c r="N177" s="53" t="str">
        <x:v>Worksheet!Y41</x:v>
      </x:c>
    </x:row>
    <x:row r="178">
      <x:c r="A178" s="45" t="str">
        <x:v>142510</x:v>
      </x:c>
      <x:c r="B178" s="45" t="str">
        <x:v>003672/KOB</x:v>
      </x:c>
      <x:c r="C178" s="39" t="str">
        <x:v>Oprawa hermetyczna LED CORTEZ 36W 4320lm 4000K 122,5cm IP65 Kobi 003672</x:v>
      </x:c>
      <x:c r="D178" s="39" t="str">
        <x:v>Oprawy hermetyczne</x:v>
      </x:c>
      <x:c r="E178" s="39" t="str">
        <x:v>Źródło światła</x:v>
      </x:c>
      <x:c r="F178" s="39" t="str">
        <x:v>Atrybut obowiązkowy</x:v>
      </x:c>
      <x:c r="G178" s="39" t="str">
        <x:v>(puste)</x:v>
      </x:c>
      <x:c r="H178" s="39" t="str">
        <x:v>Zintegrowane</x:v>
      </x:c>
      <x:c r="I178" s="39" t="str">
        <x:v>Kobi XML + nazwa produktu</x:v>
      </x:c>
      <x:c r="J178" s="39" t="str">
        <x:v>LED w konstrukcji oprawy</x:v>
      </x:c>
      <x:c r="K178" s="52" t="n">
        <x:v>0.96</x:v>
      </x:c>
      <x:c r="L178" s="53" t="str">
        <x:v>OK</x:v>
      </x:c>
      <x:c r="M178" s="53" t="str">
        <x:v>NIE</x:v>
      </x:c>
      <x:c r="N178" s="53" t="str">
        <x:v>Worksheet!AL41</x:v>
      </x:c>
    </x:row>
    <x:row r="179">
      <x:c r="A179" s="45" t="str">
        <x:v>142515</x:v>
      </x:c>
      <x:c r="B179" s="45" t="str">
        <x:v>003673/KOB</x:v>
      </x:c>
      <x:c r="C179" s="39" t="str">
        <x:v>Oprawa hermetyczna LED CORTEZ 48W 5760lm 4000K 152,5cm IP65 Kobi 003673</x:v>
      </x:c>
      <x:c r="D179" s="39" t="str">
        <x:v>Oprawy hermetyczne</x:v>
      </x:c>
      <x:c r="E179" s="39" t="str">
        <x:v>Długość</x:v>
      </x:c>
      <x:c r="F179" s="39" t="str">
        <x:v>Atrybut obowiązkowy</x:v>
      </x:c>
      <x:c r="G179" s="39" t="str">
        <x:v>(puste)</x:v>
      </x:c>
      <x:c r="H179" s="39" t="str">
        <x:v>152.5 cm</x:v>
      </x:c>
      <x:c r="I179" s="39" t="str">
        <x:v>nazwa produktu w eksporcie WooCommerce</x:v>
      </x:c>
      <x:c r="J179" s="39" t="str">
        <x:v>wymiar w nazwie</x:v>
      </x:c>
      <x:c r="K179" s="52" t="n">
        <x:v>0.96</x:v>
      </x:c>
      <x:c r="L179" s="53" t="str">
        <x:v>OK</x:v>
      </x:c>
      <x:c r="M179" s="53" t="str">
        <x:v>NIE</x:v>
      </x:c>
      <x:c r="N179" s="53" t="str">
        <x:v>Worksheet!AA42</x:v>
      </x:c>
    </x:row>
    <x:row r="180">
      <x:c r="A180" s="45" t="str">
        <x:v>142515</x:v>
      </x:c>
      <x:c r="B180" s="45" t="str">
        <x:v>003673/KOB</x:v>
      </x:c>
      <x:c r="C180" s="39" t="str">
        <x:v>Oprawa hermetyczna LED CORTEZ 48W 5760lm 4000K 152,5cm IP65 Kobi 003673</x:v>
      </x:c>
      <x:c r="D180" s="39" t="str">
        <x:v>Oprawy hermetyczne</x:v>
      </x:c>
      <x:c r="E180" s="39" t="str">
        <x:v>Kąt świecenia [°]</x:v>
      </x:c>
      <x:c r="F180" s="39" t="str">
        <x:v>Atrybut dodatkowy potwierdzony</x:v>
      </x:c>
      <x:c r="G180" s="39" t="str">
        <x:v>(puste)</x:v>
      </x:c>
      <x:c r="H180" s="39" t="str">
        <x:v>120</x:v>
      </x:c>
      <x:c r="I180" s="39" t="str">
        <x:v>aktualny XML Kobi</x:v>
      </x:c>
      <x:c r="J180" s="39" t="str">
        <x:v>Kąt świecenia [°]</x:v>
      </x:c>
      <x:c r="K180" s="52" t="n">
        <x:v>0.97</x:v>
      </x:c>
      <x:c r="L180" s="53" t="str">
        <x:v>OK</x:v>
      </x:c>
      <x:c r="M180" s="53" t="str">
        <x:v>NIE</x:v>
      </x:c>
      <x:c r="N180" s="53" t="str">
        <x:v>Worksheet!W42</x:v>
      </x:c>
    </x:row>
    <x:row r="181">
      <x:c r="A181" s="45" t="str">
        <x:v>142515</x:v>
      </x:c>
      <x:c r="B181" s="45" t="str">
        <x:v>003673/KOB</x:v>
      </x:c>
      <x:c r="C181" s="39" t="str">
        <x:v>Oprawa hermetyczna LED CORTEZ 48W 5760lm 4000K 152,5cm IP65 Kobi 003673</x:v>
      </x:c>
      <x:c r="D181" s="39" t="str">
        <x:v>Oprawy hermetyczne</x:v>
      </x:c>
      <x:c r="E181" s="39" t="str">
        <x:v>Kolor</x:v>
      </x:c>
      <x:c r="F181" s="39" t="str">
        <x:v>Atrybut dodatkowy potwierdzony</x:v>
      </x:c>
      <x:c r="G181" s="39" t="str">
        <x:v>(puste)</x:v>
      </x:c>
      <x:c r="H181" s="39" t="str">
        <x:v>Biały</x:v>
      </x:c>
      <x:c r="I181" s="39" t="str">
        <x:v>aktualny XML Kobi</x:v>
      </x:c>
      <x:c r="J181" s="39" t="str">
        <x:v>Kolor produktu</x:v>
      </x:c>
      <x:c r="K181" s="52" t="n">
        <x:v>0.97</x:v>
      </x:c>
      <x:c r="L181" s="53" t="str">
        <x:v>OK</x:v>
      </x:c>
      <x:c r="M181" s="53" t="str">
        <x:v>NIE</x:v>
      </x:c>
      <x:c r="N181" s="53" t="str">
        <x:v>Worksheet!T42</x:v>
      </x:c>
    </x:row>
    <x:row r="182">
      <x:c r="A182" s="45" t="str">
        <x:v>142515</x:v>
      </x:c>
      <x:c r="B182" s="45" t="str">
        <x:v>003673/KOB</x:v>
      </x:c>
      <x:c r="C182" s="39" t="str">
        <x:v>Oprawa hermetyczna LED CORTEZ 48W 5760lm 4000K 152,5cm IP65 Kobi 003673</x:v>
      </x:c>
      <x:c r="D182" s="39" t="str">
        <x:v>Oprawy hermetyczne</x:v>
      </x:c>
      <x:c r="E182" s="39" t="str">
        <x:v>Napięcie [V]</x:v>
      </x:c>
      <x:c r="F182" s="39" t="str">
        <x:v>Atrybut dodatkowy potwierdzony</x:v>
      </x:c>
      <x:c r="G182" s="39" t="str">
        <x:v>(puste)</x:v>
      </x:c>
      <x:c r="H182" s="39" t="str">
        <x:v>230</x:v>
      </x:c>
      <x:c r="I182" s="39" t="str">
        <x:v>aktualny XML Kobi</x:v>
      </x:c>
      <x:c r="J182" s="39" t="str">
        <x:v>Napięcie zasilania</x:v>
      </x:c>
      <x:c r="K182" s="52" t="n">
        <x:v>0.97</x:v>
      </x:c>
      <x:c r="L182" s="53" t="str">
        <x:v>OK</x:v>
      </x:c>
      <x:c r="M182" s="53" t="str">
        <x:v>NIE</x:v>
      </x:c>
      <x:c r="N182" s="53" t="str">
        <x:v>Worksheet!AG42</x:v>
      </x:c>
    </x:row>
    <x:row r="183">
      <x:c r="A183" s="45" t="str">
        <x:v>142515</x:v>
      </x:c>
      <x:c r="B183" s="45" t="str">
        <x:v>003673/KOB</x:v>
      </x:c>
      <x:c r="C183" s="39" t="str">
        <x:v>Oprawa hermetyczna LED CORTEZ 48W 5760lm 4000K 152,5cm IP65 Kobi 003673</x:v>
      </x:c>
      <x:c r="D183" s="39" t="str">
        <x:v>Oprawy hermetyczne</x:v>
      </x:c>
      <x:c r="E183" s="39" t="str">
        <x:v>Typ produktu</x:v>
      </x:c>
      <x:c r="F183" s="39" t="str">
        <x:v>Atrybut obowiązkowy</x:v>
      </x:c>
      <x:c r="G183" s="39" t="str">
        <x:v>(puste)</x:v>
      </x:c>
      <x:c r="H183" s="39" t="str">
        <x:v>Oprawa hermetyczna</x:v>
      </x:c>
      <x:c r="I183" s="39" t="str">
        <x:v>aktualny XML Kobi</x:v>
      </x:c>
      <x:c r="J183" s="39" t="str">
        <x:v>typ wywnioskowany z nazwy producenta</x:v>
      </x:c>
      <x:c r="K183" s="52" t="n">
        <x:v>0.88</x:v>
      </x:c>
      <x:c r="L183" s="53" t="str">
        <x:v>WARNING</x:v>
      </x:c>
      <x:c r="M183" s="53" t="str">
        <x:v>NIE</x:v>
      </x:c>
      <x:c r="N183" s="53" t="str">
        <x:v>Worksheet!Y42</x:v>
      </x:c>
    </x:row>
    <x:row r="184">
      <x:c r="A184" s="45" t="str">
        <x:v>142515</x:v>
      </x:c>
      <x:c r="B184" s="45" t="str">
        <x:v>003673/KOB</x:v>
      </x:c>
      <x:c r="C184" s="39" t="str">
        <x:v>Oprawa hermetyczna LED CORTEZ 48W 5760lm 4000K 152,5cm IP65 Kobi 003673</x:v>
      </x:c>
      <x:c r="D184" s="39" t="str">
        <x:v>Oprawy hermetyczne</x:v>
      </x:c>
      <x:c r="E184" s="39" t="str">
        <x:v>Źródło światła</x:v>
      </x:c>
      <x:c r="F184" s="39" t="str">
        <x:v>Atrybut obowiązkowy</x:v>
      </x:c>
      <x:c r="G184" s="39" t="str">
        <x:v>(puste)</x:v>
      </x:c>
      <x:c r="H184" s="39" t="str">
        <x:v>Zintegrowane</x:v>
      </x:c>
      <x:c r="I184" s="39" t="str">
        <x:v>Kobi XML + nazwa produktu</x:v>
      </x:c>
      <x:c r="J184" s="39" t="str">
        <x:v>LED w konstrukcji oprawy</x:v>
      </x:c>
      <x:c r="K184" s="52" t="n">
        <x:v>0.96</x:v>
      </x:c>
      <x:c r="L184" s="53" t="str">
        <x:v>OK</x:v>
      </x:c>
      <x:c r="M184" s="53" t="str">
        <x:v>NIE</x:v>
      </x:c>
      <x:c r="N184" s="53" t="str">
        <x:v>Worksheet!AL42</x:v>
      </x:c>
    </x:row>
    <x:row r="185">
      <x:c r="A185" s="45" t="str">
        <x:v>142524</x:v>
      </x:c>
      <x:c r="B185" s="45" t="str">
        <x:v>001580/KOB</x:v>
      </x:c>
      <x:c r="C185" s="39" t="str">
        <x:v>Lampa uliczna z czujnikiem zmierzchu LED CYOTO 100W 4000K 10000lm IP65 Kobi Premium 001580</x:v>
      </x:c>
      <x:c r="D185" s="39" t="str">
        <x:v>Lampy uliczne</x:v>
      </x:c>
      <x:c r="E185" s="39" t="str">
        <x:v>Napięcie [V]</x:v>
      </x:c>
      <x:c r="F185" s="39" t="str">
        <x:v>Atrybut dodatkowy potwierdzony</x:v>
      </x:c>
      <x:c r="G185" s="39" t="str">
        <x:v>(puste)</x:v>
      </x:c>
      <x:c r="H185" s="39" t="str">
        <x:v>230</x:v>
      </x:c>
      <x:c r="I185" s="39" t="str">
        <x:v>aktualny XML Kobi</x:v>
      </x:c>
      <x:c r="J185" s="39" t="str">
        <x:v>Napięcie zasilania</x:v>
      </x:c>
      <x:c r="K185" s="52" t="n">
        <x:v>0.97</x:v>
      </x:c>
      <x:c r="L185" s="53" t="str">
        <x:v>OK</x:v>
      </x:c>
      <x:c r="M185" s="53" t="str">
        <x:v>NIE</x:v>
      </x:c>
      <x:c r="N185" s="53" t="str">
        <x:v>Worksheet!AG43</x:v>
      </x:c>
    </x:row>
    <x:row r="186">
      <x:c r="A186" s="45" t="str">
        <x:v>142524</x:v>
      </x:c>
      <x:c r="B186" s="45" t="str">
        <x:v>001580/KOB</x:v>
      </x:c>
      <x:c r="C186" s="39" t="str">
        <x:v>Lampa uliczna z czujnikiem zmierzchu LED CYOTO 100W 4000K 10000lm IP65 Kobi Premium 001580</x:v>
      </x:c>
      <x:c r="D186" s="39" t="str">
        <x:v>Lampy uliczne</x:v>
      </x:c>
      <x:c r="E186" s="39" t="str">
        <x:v>Typ produktu</x:v>
      </x:c>
      <x:c r="F186" s="39" t="str">
        <x:v>Atrybut obowiązkowy</x:v>
      </x:c>
      <x:c r="G186" s="39" t="str">
        <x:v>(puste)</x:v>
      </x:c>
      <x:c r="H186" s="39" t="str">
        <x:v>Oprawa drogowa LED</x:v>
      </x:c>
      <x:c r="I186" s="39" t="str">
        <x:v>aktualny XML Kobi</x:v>
      </x:c>
      <x:c r="J186" s="39" t="str">
        <x:v>typ wywnioskowany z nazwy producenta</x:v>
      </x:c>
      <x:c r="K186" s="52" t="n">
        <x:v>0.88</x:v>
      </x:c>
      <x:c r="L186" s="53" t="str">
        <x:v>WARNING</x:v>
      </x:c>
      <x:c r="M186" s="53" t="str">
        <x:v>NIE</x:v>
      </x:c>
      <x:c r="N186" s="53" t="str">
        <x:v>Worksheet!Y43</x:v>
      </x:c>
    </x:row>
    <x:row r="187">
      <x:c r="A187" s="45" t="str">
        <x:v>142524</x:v>
      </x:c>
      <x:c r="B187" s="45" t="str">
        <x:v>001580/KOB</x:v>
      </x:c>
      <x:c r="C187" s="39" t="str">
        <x:v>Lampa uliczna z czujnikiem zmierzchu LED CYOTO 100W 4000K 10000lm IP65 Kobi Premium 001580</x:v>
      </x:c>
      <x:c r="D187" s="39" t="str">
        <x:v>Lampy uliczne</x:v>
      </x:c>
      <x:c r="E187" s="39" t="str">
        <x:v>Zasilanie</x:v>
      </x:c>
      <x:c r="F187" s="39" t="str">
        <x:v>Atrybut obowiązkowy</x:v>
      </x:c>
      <x:c r="G187" s="39" t="str">
        <x:v>(puste)</x:v>
      </x:c>
      <x:c r="H187" s="39" t="str">
        <x:v>Sieciowe</x:v>
      </x:c>
      <x:c r="I187" s="39" t="str">
        <x:v>kategoria + Kobi XML / nazwa produktu</x:v>
      </x:c>
      <x:c r="J187" s="39" t="str">
        <x:v>rodzaj zasilania</x:v>
      </x:c>
      <x:c r="K187" s="52" t="n">
        <x:v>0.96</x:v>
      </x:c>
      <x:c r="L187" s="53" t="str">
        <x:v>OK</x:v>
      </x:c>
      <x:c r="M187" s="53" t="str">
        <x:v>NIE</x:v>
      </x:c>
      <x:c r="N187" s="53" t="str">
        <x:v>Worksheet!S43</x:v>
      </x:c>
    </x:row>
    <x:row r="188">
      <x:c r="A188" s="45" t="str">
        <x:v>142528</x:v>
      </x:c>
      <x:c r="B188" s="45" t="str">
        <x:v>001581/KOB</x:v>
      </x:c>
      <x:c r="C188" s="39" t="str">
        <x:v>Lampa uliczna z czujnikiem zmierzchu LED CYOTO 50W 4000K 5000lm IP65 Kobi Premium 001581</x:v>
      </x:c>
      <x:c r="D188" s="39" t="str">
        <x:v>Lampy uliczne</x:v>
      </x:c>
      <x:c r="E188" s="39" t="str">
        <x:v>Napięcie [V]</x:v>
      </x:c>
      <x:c r="F188" s="39" t="str">
        <x:v>Atrybut dodatkowy potwierdzony</x:v>
      </x:c>
      <x:c r="G188" s="39" t="str">
        <x:v>(puste)</x:v>
      </x:c>
      <x:c r="H188" s="39" t="str">
        <x:v>230</x:v>
      </x:c>
      <x:c r="I188" s="39" t="str">
        <x:v>archiwalny XML Kobi</x:v>
      </x:c>
      <x:c r="J188" s="39" t="str">
        <x:v>Napięcie zasilania</x:v>
      </x:c>
      <x:c r="K188" s="52" t="n">
        <x:v>0.9</x:v>
      </x:c>
      <x:c r="L188" s="53" t="str">
        <x:v>WARNING</x:v>
      </x:c>
      <x:c r="M188" s="53" t="str">
        <x:v>NIE</x:v>
      </x:c>
      <x:c r="N188" s="53" t="str">
        <x:v>Worksheet!AG44</x:v>
      </x:c>
    </x:row>
    <x:row r="189">
      <x:c r="A189" s="45" t="str">
        <x:v>142528</x:v>
      </x:c>
      <x:c r="B189" s="45" t="str">
        <x:v>001581/KOB</x:v>
      </x:c>
      <x:c r="C189" s="39" t="str">
        <x:v>Lampa uliczna z czujnikiem zmierzchu LED CYOTO 50W 4000K 5000lm IP65 Kobi Premium 001581</x:v>
      </x:c>
      <x:c r="D189" s="39" t="str">
        <x:v>Lampy uliczne</x:v>
      </x:c>
      <x:c r="E189" s="39" t="str">
        <x:v>Typ produktu</x:v>
      </x:c>
      <x:c r="F189" s="39" t="str">
        <x:v>Atrybut obowiązkowy</x:v>
      </x:c>
      <x:c r="G189" s="39" t="str">
        <x:v>(puste)</x:v>
      </x:c>
      <x:c r="H189" s="39" t="str">
        <x:v>Oprawa drogowa LED</x:v>
      </x:c>
      <x:c r="I189" s="39" t="str">
        <x:v>archiwalny XML Kobi</x:v>
      </x:c>
      <x:c r="J189" s="39" t="str">
        <x:v>typ wywnioskowany z nazwy producenta</x:v>
      </x:c>
      <x:c r="K189" s="52" t="n">
        <x:v>0.88</x:v>
      </x:c>
      <x:c r="L189" s="53" t="str">
        <x:v>WARNING</x:v>
      </x:c>
      <x:c r="M189" s="53" t="str">
        <x:v>NIE</x:v>
      </x:c>
      <x:c r="N189" s="53" t="str">
        <x:v>Worksheet!Y44</x:v>
      </x:c>
    </x:row>
    <x:row r="190">
      <x:c r="A190" s="45" t="str">
        <x:v>142528</x:v>
      </x:c>
      <x:c r="B190" s="45" t="str">
        <x:v>001581/KOB</x:v>
      </x:c>
      <x:c r="C190" s="39" t="str">
        <x:v>Lampa uliczna z czujnikiem zmierzchu LED CYOTO 50W 4000K 5000lm IP65 Kobi Premium 001581</x:v>
      </x:c>
      <x:c r="D190" s="39" t="str">
        <x:v>Lampy uliczne</x:v>
      </x:c>
      <x:c r="E190" s="39" t="str">
        <x:v>Zasilanie</x:v>
      </x:c>
      <x:c r="F190" s="39" t="str">
        <x:v>Atrybut obowiązkowy</x:v>
      </x:c>
      <x:c r="G190" s="39" t="str">
        <x:v>(puste)</x:v>
      </x:c>
      <x:c r="H190" s="39" t="str">
        <x:v>Sieciowe</x:v>
      </x:c>
      <x:c r="I190" s="39" t="str">
        <x:v>kategoria + Kobi XML / nazwa produktu</x:v>
      </x:c>
      <x:c r="J190" s="39" t="str">
        <x:v>rodzaj zasilania</x:v>
      </x:c>
      <x:c r="K190" s="52" t="n">
        <x:v>0.9</x:v>
      </x:c>
      <x:c r="L190" s="53" t="str">
        <x:v>OK</x:v>
      </x:c>
      <x:c r="M190" s="53" t="str">
        <x:v>NIE</x:v>
      </x:c>
      <x:c r="N190" s="53" t="str">
        <x:v>Worksheet!S44</x:v>
      </x:c>
    </x:row>
    <x:row r="191">
      <x:c r="A191" s="45" t="str">
        <x:v>142532</x:v>
      </x:c>
      <x:c r="B191" s="45" t="str">
        <x:v>001694/KOB</x:v>
      </x:c>
      <x:c r="C191" s="39" t="str">
        <x:v>Plafon LED NAIROS G2 12W 1260lm zmienna barwa 3CCT IP65 biały Kobi Premium 001694</x:v>
      </x:c>
      <x:c r="D191" s="39" t="str">
        <x:v>Plafony</x:v>
      </x:c>
      <x:c r="E191" s="39" t="str">
        <x:v>Czujnik ruchu</x:v>
      </x:c>
      <x:c r="F191" s="39" t="str">
        <x:v>Atrybut obowiązkowy</x:v>
      </x:c>
      <x:c r="G191" s="39" t="str">
        <x:v>(puste)</x:v>
      </x:c>
      <x:c r="H191" s="39" t="str">
        <x:v>Nie</x:v>
      </x:c>
      <x:c r="I191" s="39" t="str">
        <x:v>Kobi XML + nazwa produktu</x:v>
      </x:c>
      <x:c r="J191" s="39" t="str">
        <x:v>Typ czujnika / nazwa</x:v>
      </x:c>
      <x:c r="K191" s="52" t="n">
        <x:v>0.98</x:v>
      </x:c>
      <x:c r="L191" s="53" t="str">
        <x:v>OK</x:v>
      </x:c>
      <x:c r="M191" s="53" t="str">
        <x:v>NIE</x:v>
      </x:c>
      <x:c r="N191" s="53" t="str">
        <x:v>Worksheet!X45</x:v>
      </x:c>
    </x:row>
    <x:row r="192">
      <x:c r="A192" s="45" t="str">
        <x:v>142532</x:v>
      </x:c>
      <x:c r="B192" s="45" t="str">
        <x:v>001694/KOB</x:v>
      </x:c>
      <x:c r="C192" s="39" t="str">
        <x:v>Plafon LED NAIROS G2 12W 1260lm zmienna barwa 3CCT IP65 biały Kobi Premium 001694</x:v>
      </x:c>
      <x:c r="D192" s="39" t="str">
        <x:v>Plafony</x:v>
      </x:c>
      <x:c r="E192" s="39" t="str">
        <x:v>Kąt świecenia [°]</x:v>
      </x:c>
      <x:c r="F192" s="39" t="str">
        <x:v>Atrybut dodatkowy potwierdzony</x:v>
      </x:c>
      <x:c r="G192" s="39" t="str">
        <x:v>(puste)</x:v>
      </x:c>
      <x:c r="H192" s="39" t="str">
        <x:v>120</x:v>
      </x:c>
      <x:c r="I192" s="39" t="str">
        <x:v>aktualny XML Kobi</x:v>
      </x:c>
      <x:c r="J192" s="39" t="str">
        <x:v>Kąt świecenia [°]</x:v>
      </x:c>
      <x:c r="K192" s="52" t="n">
        <x:v>0.97</x:v>
      </x:c>
      <x:c r="L192" s="53" t="str">
        <x:v>OK</x:v>
      </x:c>
      <x:c r="M192" s="53" t="str">
        <x:v>NIE</x:v>
      </x:c>
      <x:c r="N192" s="53" t="str">
        <x:v>Worksheet!W45</x:v>
      </x:c>
    </x:row>
    <x:row r="193">
      <x:c r="A193" s="45" t="str">
        <x:v>142532</x:v>
      </x:c>
      <x:c r="B193" s="45" t="str">
        <x:v>001694/KOB</x:v>
      </x:c>
      <x:c r="C193" s="39" t="str">
        <x:v>Plafon LED NAIROS G2 12W 1260lm zmienna barwa 3CCT IP65 biały Kobi Premium 001694</x:v>
      </x:c>
      <x:c r="D193" s="39" t="str">
        <x:v>Plafony</x:v>
      </x:c>
      <x:c r="E193" s="39" t="str">
        <x:v>Sposób montażu</x:v>
      </x:c>
      <x:c r="F193" s="39" t="str">
        <x:v>Atrybut obowiązkowy</x:v>
      </x:c>
      <x:c r="G193" s="39" t="str">
        <x:v>(puste)</x:v>
      </x:c>
      <x:c r="H193" s="39" t="str">
        <x:v>Natynkowy</x:v>
      </x:c>
      <x:c r="I193" s="39" t="str">
        <x:v>Atrybut Produktu: Rodzaj</x:v>
      </x:c>
      <x:c r="J193" s="39" t="str">
        <x:v>kategoria produktu</x:v>
      </x:c>
      <x:c r="K193" s="52" t="n">
        <x:v>0.99</x:v>
      </x:c>
      <x:c r="L193" s="53" t="str">
        <x:v>OK</x:v>
      </x:c>
      <x:c r="M193" s="53" t="str">
        <x:v>NIE</x:v>
      </x:c>
      <x:c r="N193" s="53" t="str">
        <x:v>Worksheet!AM45</x:v>
      </x:c>
    </x:row>
    <x:row r="194">
      <x:c r="A194" s="45" t="str">
        <x:v>142532</x:v>
      </x:c>
      <x:c r="B194" s="45" t="str">
        <x:v>001694/KOB</x:v>
      </x:c>
      <x:c r="C194" s="39" t="str">
        <x:v>Plafon LED NAIROS G2 12W 1260lm zmienna barwa 3CCT IP65 biały Kobi Premium 001694</x:v>
      </x:c>
      <x:c r="D194" s="39" t="str">
        <x:v>Plafony</x:v>
      </x:c>
      <x:c r="E194" s="39" t="str">
        <x:v>Kształt</x:v>
      </x:c>
      <x:c r="F194" s="39" t="str">
        <x:v>Atrybut obowiązkowy</x:v>
      </x:c>
      <x:c r="G194" s="39" t="str">
        <x:v>(puste)</x:v>
      </x:c>
      <x:c r="H194" s="39" t="str">
        <x:v>Okrągły</x:v>
      </x:c>
      <x:c r="I194" s="39" t="str">
        <x:v>nazwa produktu w eksporcie WooCommerce</x:v>
      </x:c>
      <x:c r="J194" s="39" t="str">
        <x:v>kształt / rodzina w nazwie</x:v>
      </x:c>
      <x:c r="K194" s="52" t="n">
        <x:v>0.92</x:v>
      </x:c>
      <x:c r="L194" s="53" t="str">
        <x:v>WARNING</x:v>
      </x:c>
      <x:c r="M194" s="53" t="str">
        <x:v>NIE</x:v>
      </x:c>
      <x:c r="N194" s="53" t="str">
        <x:v>Worksheet!AE45</x:v>
      </x:c>
    </x:row>
    <x:row r="195">
      <x:c r="A195" s="45" t="str">
        <x:v>142535</x:v>
      </x:c>
      <x:c r="B195" s="45" t="str">
        <x:v>001695/KOB</x:v>
      </x:c>
      <x:c r="C195" s="39" t="str">
        <x:v>Plafon LED NAIROS G2 12W 1140lm zmienna barwa 3CCT IP65 czarny Kobi Premium 001695</x:v>
      </x:c>
      <x:c r="D195" s="39" t="str">
        <x:v>Plafony</x:v>
      </x:c>
      <x:c r="E195" s="39" t="str">
        <x:v>Czujnik ruchu</x:v>
      </x:c>
      <x:c r="F195" s="39" t="str">
        <x:v>Atrybut obowiązkowy</x:v>
      </x:c>
      <x:c r="G195" s="39" t="str">
        <x:v>(puste)</x:v>
      </x:c>
      <x:c r="H195" s="39" t="str">
        <x:v>Nie</x:v>
      </x:c>
      <x:c r="I195" s="39" t="str">
        <x:v>Kobi XML + nazwa produktu</x:v>
      </x:c>
      <x:c r="J195" s="39" t="str">
        <x:v>Typ czujnika / nazwa</x:v>
      </x:c>
      <x:c r="K195" s="52" t="n">
        <x:v>0.98</x:v>
      </x:c>
      <x:c r="L195" s="53" t="str">
        <x:v>OK</x:v>
      </x:c>
      <x:c r="M195" s="53" t="str">
        <x:v>NIE</x:v>
      </x:c>
      <x:c r="N195" s="53" t="str">
        <x:v>Worksheet!X46</x:v>
      </x:c>
    </x:row>
    <x:row r="196">
      <x:c r="A196" s="45" t="str">
        <x:v>142535</x:v>
      </x:c>
      <x:c r="B196" s="45" t="str">
        <x:v>001695/KOB</x:v>
      </x:c>
      <x:c r="C196" s="39" t="str">
        <x:v>Plafon LED NAIROS G2 12W 1140lm zmienna barwa 3CCT IP65 czarny Kobi Premium 001695</x:v>
      </x:c>
      <x:c r="D196" s="39" t="str">
        <x:v>Plafony</x:v>
      </x:c>
      <x:c r="E196" s="39" t="str">
        <x:v>Kąt świecenia [°]</x:v>
      </x:c>
      <x:c r="F196" s="39" t="str">
        <x:v>Atrybut dodatkowy potwierdzony</x:v>
      </x:c>
      <x:c r="G196" s="39" t="str">
        <x:v>(puste)</x:v>
      </x:c>
      <x:c r="H196" s="39" t="str">
        <x:v>120</x:v>
      </x:c>
      <x:c r="I196" s="39" t="str">
        <x:v>aktualny XML Kobi</x:v>
      </x:c>
      <x:c r="J196" s="39" t="str">
        <x:v>Kąt świecenia [°]</x:v>
      </x:c>
      <x:c r="K196" s="52" t="n">
        <x:v>0.97</x:v>
      </x:c>
      <x:c r="L196" s="53" t="str">
        <x:v>OK</x:v>
      </x:c>
      <x:c r="M196" s="53" t="str">
        <x:v>NIE</x:v>
      </x:c>
      <x:c r="N196" s="53" t="str">
        <x:v>Worksheet!W46</x:v>
      </x:c>
    </x:row>
    <x:row r="197">
      <x:c r="A197" s="45" t="str">
        <x:v>142535</x:v>
      </x:c>
      <x:c r="B197" s="45" t="str">
        <x:v>001695/KOB</x:v>
      </x:c>
      <x:c r="C197" s="39" t="str">
        <x:v>Plafon LED NAIROS G2 12W 1140lm zmienna barwa 3CCT IP65 czarny Kobi Premium 001695</x:v>
      </x:c>
      <x:c r="D197" s="39" t="str">
        <x:v>Plafony</x:v>
      </x:c>
      <x:c r="E197" s="39" t="str">
        <x:v>Sposób montażu</x:v>
      </x:c>
      <x:c r="F197" s="39" t="str">
        <x:v>Atrybut obowiązkowy</x:v>
      </x:c>
      <x:c r="G197" s="39" t="str">
        <x:v>(puste)</x:v>
      </x:c>
      <x:c r="H197" s="39" t="str">
        <x:v>Natynkowy</x:v>
      </x:c>
      <x:c r="I197" s="39" t="str">
        <x:v>Atrybut Produktu: Rodzaj</x:v>
      </x:c>
      <x:c r="J197" s="39" t="str">
        <x:v>kategoria produktu</x:v>
      </x:c>
      <x:c r="K197" s="52" t="n">
        <x:v>0.99</x:v>
      </x:c>
      <x:c r="L197" s="53" t="str">
        <x:v>OK</x:v>
      </x:c>
      <x:c r="M197" s="53" t="str">
        <x:v>NIE</x:v>
      </x:c>
      <x:c r="N197" s="53" t="str">
        <x:v>Worksheet!AM46</x:v>
      </x:c>
    </x:row>
    <x:row r="198">
      <x:c r="A198" s="45" t="str">
        <x:v>142535</x:v>
      </x:c>
      <x:c r="B198" s="45" t="str">
        <x:v>001695/KOB</x:v>
      </x:c>
      <x:c r="C198" s="39" t="str">
        <x:v>Plafon LED NAIROS G2 12W 1140lm zmienna barwa 3CCT IP65 czarny Kobi Premium 001695</x:v>
      </x:c>
      <x:c r="D198" s="39" t="str">
        <x:v>Plafony</x:v>
      </x:c>
      <x:c r="E198" s="39" t="str">
        <x:v>Kształt</x:v>
      </x:c>
      <x:c r="F198" s="39" t="str">
        <x:v>Atrybut obowiązkowy</x:v>
      </x:c>
      <x:c r="G198" s="39" t="str">
        <x:v>(puste)</x:v>
      </x:c>
      <x:c r="H198" s="39" t="str">
        <x:v>Okrągły</x:v>
      </x:c>
      <x:c r="I198" s="39" t="str">
        <x:v>nazwa produktu w eksporcie WooCommerce</x:v>
      </x:c>
      <x:c r="J198" s="39" t="str">
        <x:v>kształt / rodzina w nazwie</x:v>
      </x:c>
      <x:c r="K198" s="52" t="n">
        <x:v>0.92</x:v>
      </x:c>
      <x:c r="L198" s="53" t="str">
        <x:v>WARNING</x:v>
      </x:c>
      <x:c r="M198" s="53" t="str">
        <x:v>NIE</x:v>
      </x:c>
      <x:c r="N198" s="53" t="str">
        <x:v>Worksheet!AE46</x:v>
      </x:c>
    </x:row>
    <x:row r="199">
      <x:c r="A199" s="45" t="str">
        <x:v>142539</x:v>
      </x:c>
      <x:c r="B199" s="45" t="str">
        <x:v>001701/KOB</x:v>
      </x:c>
      <x:c r="C199" s="39" t="str">
        <x:v>Plafon LED z czujnikiem ruchu NAIROS G2 12W 1260lm zmienna barwa 3CCT IP65 biały Kobi Premium 001701</x:v>
      </x:c>
      <x:c r="D199" s="39" t="str">
        <x:v>Plafony</x:v>
      </x:c>
      <x:c r="E199" s="39" t="str">
        <x:v>Czujnik ruchu</x:v>
      </x:c>
      <x:c r="F199" s="39" t="str">
        <x:v>Atrybut obowiązkowy</x:v>
      </x:c>
      <x:c r="G199" s="39" t="str">
        <x:v>(puste)</x:v>
      </x:c>
      <x:c r="H199" s="39" t="str">
        <x:v>Tak</x:v>
      </x:c>
      <x:c r="I199" s="39" t="str">
        <x:v>Kobi XML + nazwa produktu</x:v>
      </x:c>
      <x:c r="J199" s="39" t="str">
        <x:v>Typ czujnika / nazwa</x:v>
      </x:c>
      <x:c r="K199" s="52" t="n">
        <x:v>0.98</x:v>
      </x:c>
      <x:c r="L199" s="53" t="str">
        <x:v>OK</x:v>
      </x:c>
      <x:c r="M199" s="53" t="str">
        <x:v>NIE</x:v>
      </x:c>
      <x:c r="N199" s="53" t="str">
        <x:v>Worksheet!X47</x:v>
      </x:c>
    </x:row>
    <x:row r="200">
      <x:c r="A200" s="45" t="str">
        <x:v>142539</x:v>
      </x:c>
      <x:c r="B200" s="45" t="str">
        <x:v>001701/KOB</x:v>
      </x:c>
      <x:c r="C200" s="39" t="str">
        <x:v>Plafon LED z czujnikiem ruchu NAIROS G2 12W 1260lm zmienna barwa 3CCT IP65 biały Kobi Premium 001701</x:v>
      </x:c>
      <x:c r="D200" s="39" t="str">
        <x:v>Plafony</x:v>
      </x:c>
      <x:c r="E200" s="39" t="str">
        <x:v>Kąt świecenia [°]</x:v>
      </x:c>
      <x:c r="F200" s="39" t="str">
        <x:v>Atrybut dodatkowy potwierdzony</x:v>
      </x:c>
      <x:c r="G200" s="39" t="str">
        <x:v>(puste)</x:v>
      </x:c>
      <x:c r="H200" s="39" t="str">
        <x:v>120</x:v>
      </x:c>
      <x:c r="I200" s="39" t="str">
        <x:v>aktualny XML Kobi</x:v>
      </x:c>
      <x:c r="J200" s="39" t="str">
        <x:v>Kąt świecenia [°]</x:v>
      </x:c>
      <x:c r="K200" s="52" t="n">
        <x:v>0.97</x:v>
      </x:c>
      <x:c r="L200" s="53" t="str">
        <x:v>OK</x:v>
      </x:c>
      <x:c r="M200" s="53" t="str">
        <x:v>NIE</x:v>
      </x:c>
      <x:c r="N200" s="53" t="str">
        <x:v>Worksheet!W47</x:v>
      </x:c>
    </x:row>
    <x:row r="201">
      <x:c r="A201" s="45" t="str">
        <x:v>142539</x:v>
      </x:c>
      <x:c r="B201" s="45" t="str">
        <x:v>001701/KOB</x:v>
      </x:c>
      <x:c r="C201" s="39" t="str">
        <x:v>Plafon LED z czujnikiem ruchu NAIROS G2 12W 1260lm zmienna barwa 3CCT IP65 biały Kobi Premium 001701</x:v>
      </x:c>
      <x:c r="D201" s="39" t="str">
        <x:v>Plafony</x:v>
      </x:c>
      <x:c r="E201" s="39" t="str">
        <x:v>Sposób montażu</x:v>
      </x:c>
      <x:c r="F201" s="39" t="str">
        <x:v>Atrybut obowiązkowy</x:v>
      </x:c>
      <x:c r="G201" s="39" t="str">
        <x:v>(puste)</x:v>
      </x:c>
      <x:c r="H201" s="39" t="str">
        <x:v>Natynkowy</x:v>
      </x:c>
      <x:c r="I201" s="39" t="str">
        <x:v>Atrybut Produktu: Rodzaj</x:v>
      </x:c>
      <x:c r="J201" s="39" t="str">
        <x:v>kategoria produktu</x:v>
      </x:c>
      <x:c r="K201" s="52" t="n">
        <x:v>0.99</x:v>
      </x:c>
      <x:c r="L201" s="53" t="str">
        <x:v>OK</x:v>
      </x:c>
      <x:c r="M201" s="53" t="str">
        <x:v>NIE</x:v>
      </x:c>
      <x:c r="N201" s="53" t="str">
        <x:v>Worksheet!AM47</x:v>
      </x:c>
    </x:row>
    <x:row r="202">
      <x:c r="A202" s="45" t="str">
        <x:v>142539</x:v>
      </x:c>
      <x:c r="B202" s="45" t="str">
        <x:v>001701/KOB</x:v>
      </x:c>
      <x:c r="C202" s="39" t="str">
        <x:v>Plafon LED z czujnikiem ruchu NAIROS G2 12W 1260lm zmienna barwa 3CCT IP65 biały Kobi Premium 001701</x:v>
      </x:c>
      <x:c r="D202" s="39" t="str">
        <x:v>Plafony</x:v>
      </x:c>
      <x:c r="E202" s="39" t="str">
        <x:v>Kształt</x:v>
      </x:c>
      <x:c r="F202" s="39" t="str">
        <x:v>Atrybut obowiązkowy</x:v>
      </x:c>
      <x:c r="G202" s="39" t="str">
        <x:v>(puste)</x:v>
      </x:c>
      <x:c r="H202" s="39" t="str">
        <x:v>Okrągły</x:v>
      </x:c>
      <x:c r="I202" s="39" t="str">
        <x:v>nazwa produktu w eksporcie WooCommerce</x:v>
      </x:c>
      <x:c r="J202" s="39" t="str">
        <x:v>kształt / rodzina w nazwie</x:v>
      </x:c>
      <x:c r="K202" s="52" t="n">
        <x:v>0.92</x:v>
      </x:c>
      <x:c r="L202" s="53" t="str">
        <x:v>WARNING</x:v>
      </x:c>
      <x:c r="M202" s="53" t="str">
        <x:v>NIE</x:v>
      </x:c>
      <x:c r="N202" s="53" t="str">
        <x:v>Worksheet!AE47</x:v>
      </x:c>
    </x:row>
    <x:row r="203">
      <x:c r="A203" s="45" t="str">
        <x:v>142544</x:v>
      </x:c>
      <x:c r="B203" s="45" t="str">
        <x:v>001696/KOB</x:v>
      </x:c>
      <x:c r="C203" s="39" t="str">
        <x:v>Plafon LED NAIROS G2 18W 1890lm zmienna barwa 3CCT IP65 biały Kobi Premium 001696</x:v>
      </x:c>
      <x:c r="D203" s="39" t="str">
        <x:v>Plafony</x:v>
      </x:c>
      <x:c r="E203" s="39" t="str">
        <x:v>Czujnik ruchu</x:v>
      </x:c>
      <x:c r="F203" s="39" t="str">
        <x:v>Atrybut obowiązkowy</x:v>
      </x:c>
      <x:c r="G203" s="39" t="str">
        <x:v>(puste)</x:v>
      </x:c>
      <x:c r="H203" s="39" t="str">
        <x:v>Nie</x:v>
      </x:c>
      <x:c r="I203" s="39" t="str">
        <x:v>Kobi XML + nazwa produktu</x:v>
      </x:c>
      <x:c r="J203" s="39" t="str">
        <x:v>Typ czujnika / nazwa</x:v>
      </x:c>
      <x:c r="K203" s="52" t="n">
        <x:v>0.98</x:v>
      </x:c>
      <x:c r="L203" s="53" t="str">
        <x:v>OK</x:v>
      </x:c>
      <x:c r="M203" s="53" t="str">
        <x:v>NIE</x:v>
      </x:c>
      <x:c r="N203" s="53" t="str">
        <x:v>Worksheet!X48</x:v>
      </x:c>
    </x:row>
    <x:row r="204">
      <x:c r="A204" s="45" t="str">
        <x:v>142544</x:v>
      </x:c>
      <x:c r="B204" s="45" t="str">
        <x:v>001696/KOB</x:v>
      </x:c>
      <x:c r="C204" s="39" t="str">
        <x:v>Plafon LED NAIROS G2 18W 1890lm zmienna barwa 3CCT IP65 biały Kobi Premium 001696</x:v>
      </x:c>
      <x:c r="D204" s="39" t="str">
        <x:v>Plafony</x:v>
      </x:c>
      <x:c r="E204" s="39" t="str">
        <x:v>Kąt świecenia [°]</x:v>
      </x:c>
      <x:c r="F204" s="39" t="str">
        <x:v>Atrybut dodatkowy potwierdzony</x:v>
      </x:c>
      <x:c r="G204" s="39" t="str">
        <x:v>(puste)</x:v>
      </x:c>
      <x:c r="H204" s="39" t="str">
        <x:v>120</x:v>
      </x:c>
      <x:c r="I204" s="39" t="str">
        <x:v>aktualny XML Kobi</x:v>
      </x:c>
      <x:c r="J204" s="39" t="str">
        <x:v>Kąt świecenia [°]</x:v>
      </x:c>
      <x:c r="K204" s="52" t="n">
        <x:v>0.97</x:v>
      </x:c>
      <x:c r="L204" s="53" t="str">
        <x:v>OK</x:v>
      </x:c>
      <x:c r="M204" s="53" t="str">
        <x:v>NIE</x:v>
      </x:c>
      <x:c r="N204" s="53" t="str">
        <x:v>Worksheet!W48</x:v>
      </x:c>
    </x:row>
    <x:row r="205">
      <x:c r="A205" s="45" t="str">
        <x:v>142544</x:v>
      </x:c>
      <x:c r="B205" s="45" t="str">
        <x:v>001696/KOB</x:v>
      </x:c>
      <x:c r="C205" s="39" t="str">
        <x:v>Plafon LED NAIROS G2 18W 1890lm zmienna barwa 3CCT IP65 biały Kobi Premium 001696</x:v>
      </x:c>
      <x:c r="D205" s="39" t="str">
        <x:v>Plafony</x:v>
      </x:c>
      <x:c r="E205" s="39" t="str">
        <x:v>Sposób montażu</x:v>
      </x:c>
      <x:c r="F205" s="39" t="str">
        <x:v>Atrybut obowiązkowy</x:v>
      </x:c>
      <x:c r="G205" s="39" t="str">
        <x:v>(puste)</x:v>
      </x:c>
      <x:c r="H205" s="39" t="str">
        <x:v>Natynkowy</x:v>
      </x:c>
      <x:c r="I205" s="39" t="str">
        <x:v>Atrybut Produktu: Rodzaj</x:v>
      </x:c>
      <x:c r="J205" s="39" t="str">
        <x:v>kategoria produktu</x:v>
      </x:c>
      <x:c r="K205" s="52" t="n">
        <x:v>0.99</x:v>
      </x:c>
      <x:c r="L205" s="53" t="str">
        <x:v>OK</x:v>
      </x:c>
      <x:c r="M205" s="53" t="str">
        <x:v>NIE</x:v>
      </x:c>
      <x:c r="N205" s="53" t="str">
        <x:v>Worksheet!AM48</x:v>
      </x:c>
    </x:row>
    <x:row r="206">
      <x:c r="A206" s="45" t="str">
        <x:v>142544</x:v>
      </x:c>
      <x:c r="B206" s="45" t="str">
        <x:v>001696/KOB</x:v>
      </x:c>
      <x:c r="C206" s="39" t="str">
        <x:v>Plafon LED NAIROS G2 18W 1890lm zmienna barwa 3CCT IP65 biały Kobi Premium 001696</x:v>
      </x:c>
      <x:c r="D206" s="39" t="str">
        <x:v>Plafony</x:v>
      </x:c>
      <x:c r="E206" s="39" t="str">
        <x:v>Kształt</x:v>
      </x:c>
      <x:c r="F206" s="39" t="str">
        <x:v>Atrybut obowiązkowy</x:v>
      </x:c>
      <x:c r="G206" s="39" t="str">
        <x:v>(puste)</x:v>
      </x:c>
      <x:c r="H206" s="39" t="str">
        <x:v>Okrągły</x:v>
      </x:c>
      <x:c r="I206" s="39" t="str">
        <x:v>nazwa produktu w eksporcie WooCommerce</x:v>
      </x:c>
      <x:c r="J206" s="39" t="str">
        <x:v>kształt / rodzina w nazwie</x:v>
      </x:c>
      <x:c r="K206" s="52" t="n">
        <x:v>0.92</x:v>
      </x:c>
      <x:c r="L206" s="53" t="str">
        <x:v>WARNING</x:v>
      </x:c>
      <x:c r="M206" s="53" t="str">
        <x:v>NIE</x:v>
      </x:c>
      <x:c r="N206" s="53" t="str">
        <x:v>Worksheet!AE48</x:v>
      </x:c>
    </x:row>
    <x:row r="207">
      <x:c r="A207" s="45" t="str">
        <x:v>142547</x:v>
      </x:c>
      <x:c r="B207" s="45" t="str">
        <x:v>001703/KOB</x:v>
      </x:c>
      <x:c r="C207" s="39" t="str">
        <x:v>Plafon LED z czujnikiem ruchu NAIROS G2 18W 1890lm zmienna barwa 3CCT IP65 biały Kobi Premium 001703</x:v>
      </x:c>
      <x:c r="D207" s="39" t="str">
        <x:v>Plafony</x:v>
      </x:c>
      <x:c r="E207" s="39" t="str">
        <x:v>Czujnik ruchu</x:v>
      </x:c>
      <x:c r="F207" s="39" t="str">
        <x:v>Atrybut obowiązkowy</x:v>
      </x:c>
      <x:c r="G207" s="39" t="str">
        <x:v>(puste)</x:v>
      </x:c>
      <x:c r="H207" s="39" t="str">
        <x:v>Tak</x:v>
      </x:c>
      <x:c r="I207" s="39" t="str">
        <x:v>Kobi XML + nazwa produktu</x:v>
      </x:c>
      <x:c r="J207" s="39" t="str">
        <x:v>Typ czujnika / nazwa</x:v>
      </x:c>
      <x:c r="K207" s="52" t="n">
        <x:v>0.98</x:v>
      </x:c>
      <x:c r="L207" s="53" t="str">
        <x:v>OK</x:v>
      </x:c>
      <x:c r="M207" s="53" t="str">
        <x:v>NIE</x:v>
      </x:c>
      <x:c r="N207" s="53" t="str">
        <x:v>Worksheet!X49</x:v>
      </x:c>
    </x:row>
    <x:row r="208">
      <x:c r="A208" s="45" t="str">
        <x:v>142547</x:v>
      </x:c>
      <x:c r="B208" s="45" t="str">
        <x:v>001703/KOB</x:v>
      </x:c>
      <x:c r="C208" s="39" t="str">
        <x:v>Plafon LED z czujnikiem ruchu NAIROS G2 18W 1890lm zmienna barwa 3CCT IP65 biały Kobi Premium 001703</x:v>
      </x:c>
      <x:c r="D208" s="39" t="str">
        <x:v>Plafony</x:v>
      </x:c>
      <x:c r="E208" s="39" t="str">
        <x:v>Kąt świecenia [°]</x:v>
      </x:c>
      <x:c r="F208" s="39" t="str">
        <x:v>Atrybut dodatkowy potwierdzony</x:v>
      </x:c>
      <x:c r="G208" s="39" t="str">
        <x:v>(puste)</x:v>
      </x:c>
      <x:c r="H208" s="39" t="str">
        <x:v>120</x:v>
      </x:c>
      <x:c r="I208" s="39" t="str">
        <x:v>aktualny XML Kobi</x:v>
      </x:c>
      <x:c r="J208" s="39" t="str">
        <x:v>Kąt świecenia [°]</x:v>
      </x:c>
      <x:c r="K208" s="52" t="n">
        <x:v>0.97</x:v>
      </x:c>
      <x:c r="L208" s="53" t="str">
        <x:v>OK</x:v>
      </x:c>
      <x:c r="M208" s="53" t="str">
        <x:v>NIE</x:v>
      </x:c>
      <x:c r="N208" s="53" t="str">
        <x:v>Worksheet!W49</x:v>
      </x:c>
    </x:row>
    <x:row r="209">
      <x:c r="A209" s="45" t="str">
        <x:v>142547</x:v>
      </x:c>
      <x:c r="B209" s="45" t="str">
        <x:v>001703/KOB</x:v>
      </x:c>
      <x:c r="C209" s="39" t="str">
        <x:v>Plafon LED z czujnikiem ruchu NAIROS G2 18W 1890lm zmienna barwa 3CCT IP65 biały Kobi Premium 001703</x:v>
      </x:c>
      <x:c r="D209" s="39" t="str">
        <x:v>Plafony</x:v>
      </x:c>
      <x:c r="E209" s="39" t="str">
        <x:v>Sposób montażu</x:v>
      </x:c>
      <x:c r="F209" s="39" t="str">
        <x:v>Atrybut obowiązkowy</x:v>
      </x:c>
      <x:c r="G209" s="39" t="str">
        <x:v>(puste)</x:v>
      </x:c>
      <x:c r="H209" s="39" t="str">
        <x:v>Natynkowy</x:v>
      </x:c>
      <x:c r="I209" s="39" t="str">
        <x:v>Atrybut Produktu: Rodzaj</x:v>
      </x:c>
      <x:c r="J209" s="39" t="str">
        <x:v>kategoria produktu</x:v>
      </x:c>
      <x:c r="K209" s="52" t="n">
        <x:v>0.99</x:v>
      </x:c>
      <x:c r="L209" s="53" t="str">
        <x:v>OK</x:v>
      </x:c>
      <x:c r="M209" s="53" t="str">
        <x:v>NIE</x:v>
      </x:c>
      <x:c r="N209" s="53" t="str">
        <x:v>Worksheet!AM49</x:v>
      </x:c>
    </x:row>
    <x:row r="210">
      <x:c r="A210" s="45" t="str">
        <x:v>142547</x:v>
      </x:c>
      <x:c r="B210" s="45" t="str">
        <x:v>001703/KOB</x:v>
      </x:c>
      <x:c r="C210" s="39" t="str">
        <x:v>Plafon LED z czujnikiem ruchu NAIROS G2 18W 1890lm zmienna barwa 3CCT IP65 biały Kobi Premium 001703</x:v>
      </x:c>
      <x:c r="D210" s="39" t="str">
        <x:v>Plafony</x:v>
      </x:c>
      <x:c r="E210" s="39" t="str">
        <x:v>Kształt</x:v>
      </x:c>
      <x:c r="F210" s="39" t="str">
        <x:v>Atrybut obowiązkowy</x:v>
      </x:c>
      <x:c r="G210" s="39" t="str">
        <x:v>(puste)</x:v>
      </x:c>
      <x:c r="H210" s="39" t="str">
        <x:v>Okrągły</x:v>
      </x:c>
      <x:c r="I210" s="39" t="str">
        <x:v>nazwa produktu w eksporcie WooCommerce</x:v>
      </x:c>
      <x:c r="J210" s="39" t="str">
        <x:v>kształt / rodzina w nazwie</x:v>
      </x:c>
      <x:c r="K210" s="52" t="n">
        <x:v>0.92</x:v>
      </x:c>
      <x:c r="L210" s="53" t="str">
        <x:v>WARNING</x:v>
      </x:c>
      <x:c r="M210" s="53" t="str">
        <x:v>NIE</x:v>
      </x:c>
      <x:c r="N210" s="53" t="str">
        <x:v>Worksheet!AE49</x:v>
      </x:c>
    </x:row>
    <x:row r="211">
      <x:c r="A211" s="45" t="str">
        <x:v>142574</x:v>
      </x:c>
      <x:c r="B211" s="45" t="str">
        <x:v>001726/KOB</x:v>
      </x:c>
      <x:c r="C211" s="39" t="str">
        <x:v>Oprawa hermetyczna liniowa LED NEXFORCE N2 120 cm 36W 6300lm 4000K neutralna IP66 Kobi 001726</x:v>
      </x:c>
      <x:c r="D211" s="39" t="str">
        <x:v>Oprawy hermetyczne</x:v>
      </x:c>
      <x:c r="E211" s="39" t="str">
        <x:v>Barwa światła</x:v>
      </x:c>
      <x:c r="F211" s="39" t="str">
        <x:v>Atrybut obowiązkowy</x:v>
      </x:c>
      <x:c r="G211" s="39" t="str">
        <x:v>(puste)</x:v>
      </x:c>
      <x:c r="H211" s="39" t="str">
        <x:v>Neutralna</x:v>
      </x:c>
      <x:c r="I211" s="39" t="str">
        <x:v>nazwa produktu w eksporcie WooCommerce</x:v>
      </x:c>
      <x:c r="J211" s="39" t="str">
        <x:v>temperatura barwowa w nazwie</x:v>
      </x:c>
      <x:c r="K211" s="52" t="n">
        <x:v>0.95</x:v>
      </x:c>
      <x:c r="L211" s="53" t="str">
        <x:v>OK</x:v>
      </x:c>
      <x:c r="M211" s="53" t="str">
        <x:v>NIE</x:v>
      </x:c>
      <x:c r="N211" s="53" t="str">
        <x:v>Worksheet!P50</x:v>
      </x:c>
    </x:row>
    <x:row r="212">
      <x:c r="A212" s="45" t="str">
        <x:v>142574</x:v>
      </x:c>
      <x:c r="B212" s="45" t="str">
        <x:v>001726/KOB</x:v>
      </x:c>
      <x:c r="C212" s="39" t="str">
        <x:v>Oprawa hermetyczna liniowa LED NEXFORCE N2 120 cm 36W 6300lm 4000K neutralna IP66 Kobi 001726</x:v>
      </x:c>
      <x:c r="D212" s="39" t="str">
        <x:v>Oprawy hermetyczne</x:v>
      </x:c>
      <x:c r="E212" s="39" t="str">
        <x:v>Kąt świecenia [°]</x:v>
      </x:c>
      <x:c r="F212" s="39" t="str">
        <x:v>Atrybut dodatkowy potwierdzony</x:v>
      </x:c>
      <x:c r="G212" s="39" t="str">
        <x:v>(puste)</x:v>
      </x:c>
      <x:c r="H212" s="39" t="str">
        <x:v>120</x:v>
      </x:c>
      <x:c r="I212" s="39" t="str">
        <x:v>aktualny XML Kobi</x:v>
      </x:c>
      <x:c r="J212" s="39" t="str">
        <x:v>Kąt świecenia [°]</x:v>
      </x:c>
      <x:c r="K212" s="52" t="n">
        <x:v>0.97</x:v>
      </x:c>
      <x:c r="L212" s="53" t="str">
        <x:v>OK</x:v>
      </x:c>
      <x:c r="M212" s="53" t="str">
        <x:v>NIE</x:v>
      </x:c>
      <x:c r="N212" s="53" t="str">
        <x:v>Worksheet!W50</x:v>
      </x:c>
    </x:row>
    <x:row r="213">
      <x:c r="A213" s="45" t="str">
        <x:v>142574</x:v>
      </x:c>
      <x:c r="B213" s="45" t="str">
        <x:v>001726/KOB</x:v>
      </x:c>
      <x:c r="C213" s="39" t="str">
        <x:v>Oprawa hermetyczna liniowa LED NEXFORCE N2 120 cm 36W 6300lm 4000K neutralna IP66 Kobi 001726</x:v>
      </x:c>
      <x:c r="D213" s="39" t="str">
        <x:v>Oprawy hermetyczne</x:v>
      </x:c>
      <x:c r="E213" s="39" t="str">
        <x:v>Kolor</x:v>
      </x:c>
      <x:c r="F213" s="39" t="str">
        <x:v>Atrybut dodatkowy potwierdzony</x:v>
      </x:c>
      <x:c r="G213" s="39" t="str">
        <x:v>(puste)</x:v>
      </x:c>
      <x:c r="H213" s="39" t="str">
        <x:v>Szary</x:v>
      </x:c>
      <x:c r="I213" s="39" t="str">
        <x:v>aktualny XML Kobi</x:v>
      </x:c>
      <x:c r="J213" s="39" t="str">
        <x:v>Kolor produktu</x:v>
      </x:c>
      <x:c r="K213" s="52" t="n">
        <x:v>0.97</x:v>
      </x:c>
      <x:c r="L213" s="53" t="str">
        <x:v>OK</x:v>
      </x:c>
      <x:c r="M213" s="53" t="str">
        <x:v>NIE</x:v>
      </x:c>
      <x:c r="N213" s="53" t="str">
        <x:v>Worksheet!T50</x:v>
      </x:c>
    </x:row>
    <x:row r="214">
      <x:c r="A214" s="45" t="str">
        <x:v>142574</x:v>
      </x:c>
      <x:c r="B214" s="45" t="str">
        <x:v>001726/KOB</x:v>
      </x:c>
      <x:c r="C214" s="39" t="str">
        <x:v>Oprawa hermetyczna liniowa LED NEXFORCE N2 120 cm 36W 6300lm 4000K neutralna IP66 Kobi 001726</x:v>
      </x:c>
      <x:c r="D214" s="39" t="str">
        <x:v>Oprawy hermetyczne</x:v>
      </x:c>
      <x:c r="E214" s="39" t="str">
        <x:v>Napięcie [V]</x:v>
      </x:c>
      <x:c r="F214" s="39" t="str">
        <x:v>Atrybut dodatkowy potwierdzony</x:v>
      </x:c>
      <x:c r="G214" s="39" t="str">
        <x:v>(puste)</x:v>
      </x:c>
      <x:c r="H214" s="39" t="str">
        <x:v>230</x:v>
      </x:c>
      <x:c r="I214" s="39" t="str">
        <x:v>aktualny XML Kobi</x:v>
      </x:c>
      <x:c r="J214" s="39" t="str">
        <x:v>Napięcie zasilania</x:v>
      </x:c>
      <x:c r="K214" s="52" t="n">
        <x:v>0.97</x:v>
      </x:c>
      <x:c r="L214" s="53" t="str">
        <x:v>OK</x:v>
      </x:c>
      <x:c r="M214" s="53" t="str">
        <x:v>NIE</x:v>
      </x:c>
      <x:c r="N214" s="53" t="str">
        <x:v>Worksheet!AG50</x:v>
      </x:c>
    </x:row>
    <x:row r="215">
      <x:c r="A215" s="45" t="str">
        <x:v>142574</x:v>
      </x:c>
      <x:c r="B215" s="45" t="str">
        <x:v>001726/KOB</x:v>
      </x:c>
      <x:c r="C215" s="39" t="str">
        <x:v>Oprawa hermetyczna liniowa LED NEXFORCE N2 120 cm 36W 6300lm 4000K neutralna IP66 Kobi 001726</x:v>
      </x:c>
      <x:c r="D215" s="39" t="str">
        <x:v>Oprawy hermetyczne</x:v>
      </x:c>
      <x:c r="E215" s="39" t="str">
        <x:v>Typ produktu</x:v>
      </x:c>
      <x:c r="F215" s="39" t="str">
        <x:v>Atrybut obowiązkowy</x:v>
      </x:c>
      <x:c r="G215" s="39" t="str">
        <x:v>(puste)</x:v>
      </x:c>
      <x:c r="H215" s="39" t="str">
        <x:v>Oprawa hermetyczna</x:v>
      </x:c>
      <x:c r="I215" s="39" t="str">
        <x:v>aktualny XML Kobi</x:v>
      </x:c>
      <x:c r="J215" s="39" t="str">
        <x:v>typ wywnioskowany z nazwy producenta</x:v>
      </x:c>
      <x:c r="K215" s="52" t="n">
        <x:v>0.88</x:v>
      </x:c>
      <x:c r="L215" s="53" t="str">
        <x:v>WARNING</x:v>
      </x:c>
      <x:c r="M215" s="53" t="str">
        <x:v>NIE</x:v>
      </x:c>
      <x:c r="N215" s="53" t="str">
        <x:v>Worksheet!Y50</x:v>
      </x:c>
    </x:row>
    <x:row r="216">
      <x:c r="A216" s="45" t="str">
        <x:v>142574</x:v>
      </x:c>
      <x:c r="B216" s="45" t="str">
        <x:v>001726/KOB</x:v>
      </x:c>
      <x:c r="C216" s="39" t="str">
        <x:v>Oprawa hermetyczna liniowa LED NEXFORCE N2 120 cm 36W 6300lm 4000K neutralna IP66 Kobi 001726</x:v>
      </x:c>
      <x:c r="D216" s="39" t="str">
        <x:v>Oprawy hermetyczne</x:v>
      </x:c>
      <x:c r="E216" s="39" t="str">
        <x:v>Źródło światła</x:v>
      </x:c>
      <x:c r="F216" s="39" t="str">
        <x:v>Atrybut obowiązkowy</x:v>
      </x:c>
      <x:c r="G216" s="39" t="str">
        <x:v>(puste)</x:v>
      </x:c>
      <x:c r="H216" s="39" t="str">
        <x:v>Zintegrowane</x:v>
      </x:c>
      <x:c r="I216" s="39" t="str">
        <x:v>Kobi XML + nazwa produktu</x:v>
      </x:c>
      <x:c r="J216" s="39" t="str">
        <x:v>LED w konstrukcji oprawy</x:v>
      </x:c>
      <x:c r="K216" s="52" t="n">
        <x:v>0.96</x:v>
      </x:c>
      <x:c r="L216" s="53" t="str">
        <x:v>OK</x:v>
      </x:c>
      <x:c r="M216" s="53" t="str">
        <x:v>NIE</x:v>
      </x:c>
      <x:c r="N216" s="53" t="str">
        <x:v>Worksheet!AL50</x:v>
      </x:c>
    </x:row>
    <x:row r="217">
      <x:c r="A217" s="45" t="str">
        <x:v>142581</x:v>
      </x:c>
      <x:c r="B217" s="45" t="str">
        <x:v>001727/KOB</x:v>
      </x:c>
      <x:c r="C217" s="39" t="str">
        <x:v>Oprawa hermetyczna liniowa LED NEXFORCE N2 150cm 52W 9000lm 4000K neutralna IP66 Kobi 001727</x:v>
      </x:c>
      <x:c r="D217" s="39" t="str">
        <x:v>Oprawy hermetyczne</x:v>
      </x:c>
      <x:c r="E217" s="39" t="str">
        <x:v>Barwa światła</x:v>
      </x:c>
      <x:c r="F217" s="39" t="str">
        <x:v>Atrybut obowiązkowy</x:v>
      </x:c>
      <x:c r="G217" s="39" t="str">
        <x:v>(puste)</x:v>
      </x:c>
      <x:c r="H217" s="39" t="str">
        <x:v>Neutralna</x:v>
      </x:c>
      <x:c r="I217" s="39" t="str">
        <x:v>nazwa produktu w eksporcie WooCommerce</x:v>
      </x:c>
      <x:c r="J217" s="39" t="str">
        <x:v>temperatura barwowa w nazwie</x:v>
      </x:c>
      <x:c r="K217" s="52" t="n">
        <x:v>0.95</x:v>
      </x:c>
      <x:c r="L217" s="53" t="str">
        <x:v>OK</x:v>
      </x:c>
      <x:c r="M217" s="53" t="str">
        <x:v>NIE</x:v>
      </x:c>
      <x:c r="N217" s="53" t="str">
        <x:v>Worksheet!P51</x:v>
      </x:c>
    </x:row>
    <x:row r="218">
      <x:c r="A218" s="45" t="str">
        <x:v>142581</x:v>
      </x:c>
      <x:c r="B218" s="45" t="str">
        <x:v>001727/KOB</x:v>
      </x:c>
      <x:c r="C218" s="39" t="str">
        <x:v>Oprawa hermetyczna liniowa LED NEXFORCE N2 150cm 52W 9000lm 4000K neutralna IP66 Kobi 001727</x:v>
      </x:c>
      <x:c r="D218" s="39" t="str">
        <x:v>Oprawy hermetyczne</x:v>
      </x:c>
      <x:c r="E218" s="39" t="str">
        <x:v>Kąt świecenia [°]</x:v>
      </x:c>
      <x:c r="F218" s="39" t="str">
        <x:v>Atrybut dodatkowy potwierdzony</x:v>
      </x:c>
      <x:c r="G218" s="39" t="str">
        <x:v>(puste)</x:v>
      </x:c>
      <x:c r="H218" s="39" t="str">
        <x:v>120</x:v>
      </x:c>
      <x:c r="I218" s="39" t="str">
        <x:v>aktualny XML Kobi</x:v>
      </x:c>
      <x:c r="J218" s="39" t="str">
        <x:v>Kąt świecenia [°]</x:v>
      </x:c>
      <x:c r="K218" s="52" t="n">
        <x:v>0.97</x:v>
      </x:c>
      <x:c r="L218" s="53" t="str">
        <x:v>OK</x:v>
      </x:c>
      <x:c r="M218" s="53" t="str">
        <x:v>NIE</x:v>
      </x:c>
      <x:c r="N218" s="53" t="str">
        <x:v>Worksheet!W51</x:v>
      </x:c>
    </x:row>
    <x:row r="219">
      <x:c r="A219" s="45" t="str">
        <x:v>142581</x:v>
      </x:c>
      <x:c r="B219" s="45" t="str">
        <x:v>001727/KOB</x:v>
      </x:c>
      <x:c r="C219" s="39" t="str">
        <x:v>Oprawa hermetyczna liniowa LED NEXFORCE N2 150cm 52W 9000lm 4000K neutralna IP66 Kobi 001727</x:v>
      </x:c>
      <x:c r="D219" s="39" t="str">
        <x:v>Oprawy hermetyczne</x:v>
      </x:c>
      <x:c r="E219" s="39" t="str">
        <x:v>Kolor</x:v>
      </x:c>
      <x:c r="F219" s="39" t="str">
        <x:v>Atrybut dodatkowy potwierdzony</x:v>
      </x:c>
      <x:c r="G219" s="39" t="str">
        <x:v>(puste)</x:v>
      </x:c>
      <x:c r="H219" s="39" t="str">
        <x:v>Szary</x:v>
      </x:c>
      <x:c r="I219" s="39" t="str">
        <x:v>aktualny XML Kobi</x:v>
      </x:c>
      <x:c r="J219" s="39" t="str">
        <x:v>Kolor produktu</x:v>
      </x:c>
      <x:c r="K219" s="52" t="n">
        <x:v>0.97</x:v>
      </x:c>
      <x:c r="L219" s="53" t="str">
        <x:v>OK</x:v>
      </x:c>
      <x:c r="M219" s="53" t="str">
        <x:v>NIE</x:v>
      </x:c>
      <x:c r="N219" s="53" t="str">
        <x:v>Worksheet!T51</x:v>
      </x:c>
    </x:row>
    <x:row r="220">
      <x:c r="A220" s="45" t="str">
        <x:v>142581</x:v>
      </x:c>
      <x:c r="B220" s="45" t="str">
        <x:v>001727/KOB</x:v>
      </x:c>
      <x:c r="C220" s="39" t="str">
        <x:v>Oprawa hermetyczna liniowa LED NEXFORCE N2 150cm 52W 9000lm 4000K neutralna IP66 Kobi 001727</x:v>
      </x:c>
      <x:c r="D220" s="39" t="str">
        <x:v>Oprawy hermetyczne</x:v>
      </x:c>
      <x:c r="E220" s="39" t="str">
        <x:v>Napięcie [V]</x:v>
      </x:c>
      <x:c r="F220" s="39" t="str">
        <x:v>Atrybut dodatkowy potwierdzony</x:v>
      </x:c>
      <x:c r="G220" s="39" t="str">
        <x:v>(puste)</x:v>
      </x:c>
      <x:c r="H220" s="39" t="str">
        <x:v>230</x:v>
      </x:c>
      <x:c r="I220" s="39" t="str">
        <x:v>aktualny XML Kobi</x:v>
      </x:c>
      <x:c r="J220" s="39" t="str">
        <x:v>Napięcie zasilania</x:v>
      </x:c>
      <x:c r="K220" s="52" t="n">
        <x:v>0.97</x:v>
      </x:c>
      <x:c r="L220" s="53" t="str">
        <x:v>OK</x:v>
      </x:c>
      <x:c r="M220" s="53" t="str">
        <x:v>NIE</x:v>
      </x:c>
      <x:c r="N220" s="53" t="str">
        <x:v>Worksheet!AG51</x:v>
      </x:c>
    </x:row>
    <x:row r="221">
      <x:c r="A221" s="45" t="str">
        <x:v>142581</x:v>
      </x:c>
      <x:c r="B221" s="45" t="str">
        <x:v>001727/KOB</x:v>
      </x:c>
      <x:c r="C221" s="39" t="str">
        <x:v>Oprawa hermetyczna liniowa LED NEXFORCE N2 150cm 52W 9000lm 4000K neutralna IP66 Kobi 001727</x:v>
      </x:c>
      <x:c r="D221" s="39" t="str">
        <x:v>Oprawy hermetyczne</x:v>
      </x:c>
      <x:c r="E221" s="39" t="str">
        <x:v>Typ produktu</x:v>
      </x:c>
      <x:c r="F221" s="39" t="str">
        <x:v>Atrybut obowiązkowy</x:v>
      </x:c>
      <x:c r="G221" s="39" t="str">
        <x:v>(puste)</x:v>
      </x:c>
      <x:c r="H221" s="39" t="str">
        <x:v>Oprawa hermetyczna</x:v>
      </x:c>
      <x:c r="I221" s="39" t="str">
        <x:v>aktualny XML Kobi</x:v>
      </x:c>
      <x:c r="J221" s="39" t="str">
        <x:v>typ wywnioskowany z nazwy producenta</x:v>
      </x:c>
      <x:c r="K221" s="52" t="n">
        <x:v>0.88</x:v>
      </x:c>
      <x:c r="L221" s="53" t="str">
        <x:v>WARNING</x:v>
      </x:c>
      <x:c r="M221" s="53" t="str">
        <x:v>NIE</x:v>
      </x:c>
      <x:c r="N221" s="53" t="str">
        <x:v>Worksheet!Y51</x:v>
      </x:c>
    </x:row>
    <x:row r="222">
      <x:c r="A222" s="45" t="str">
        <x:v>142581</x:v>
      </x:c>
      <x:c r="B222" s="45" t="str">
        <x:v>001727/KOB</x:v>
      </x:c>
      <x:c r="C222" s="39" t="str">
        <x:v>Oprawa hermetyczna liniowa LED NEXFORCE N2 150cm 52W 9000lm 4000K neutralna IP66 Kobi 001727</x:v>
      </x:c>
      <x:c r="D222" s="39" t="str">
        <x:v>Oprawy hermetyczne</x:v>
      </x:c>
      <x:c r="E222" s="39" t="str">
        <x:v>Źródło światła</x:v>
      </x:c>
      <x:c r="F222" s="39" t="str">
        <x:v>Atrybut obowiązkowy</x:v>
      </x:c>
      <x:c r="G222" s="39" t="str">
        <x:v>(puste)</x:v>
      </x:c>
      <x:c r="H222" s="39" t="str">
        <x:v>Zintegrowane</x:v>
      </x:c>
      <x:c r="I222" s="39" t="str">
        <x:v>Kobi XML + nazwa produktu</x:v>
      </x:c>
      <x:c r="J222" s="39" t="str">
        <x:v>LED w konstrukcji oprawy</x:v>
      </x:c>
      <x:c r="K222" s="52" t="n">
        <x:v>0.96</x:v>
      </x:c>
      <x:c r="L222" s="53" t="str">
        <x:v>OK</x:v>
      </x:c>
      <x:c r="M222" s="53" t="str">
        <x:v>NIE</x:v>
      </x:c>
      <x:c r="N222" s="53" t="str">
        <x:v>Worksheet!AL51</x:v>
      </x:c>
    </x:row>
    <x:row r="223">
      <x:c r="A223" s="45" t="str">
        <x:v>143665</x:v>
      </x:c>
      <x:c r="B223" s="45" t="str">
        <x:v>001820/KOB</x:v>
      </x:c>
      <x:c r="C223" s="39" t="str">
        <x:v>Lampa uliczna z czujnikiem ruchu solarna 30W 3000/4000K 4800lm 2CCT IP65 Kobi Premium 001820</x:v>
      </x:c>
      <x:c r="D223" s="39" t="str">
        <x:v>Lampy uliczne</x:v>
      </x:c>
      <x:c r="E223" s="39" t="str">
        <x:v>Napięcie [V]</x:v>
      </x:c>
      <x:c r="F223" s="39" t="str">
        <x:v>Atrybut dodatkowy potwierdzony</x:v>
      </x:c>
      <x:c r="G223" s="39" t="str">
        <x:v>(puste)</x:v>
      </x:c>
      <x:c r="H223" s="39" t="str">
        <x:v>9</x:v>
      </x:c>
      <x:c r="I223" s="39" t="str">
        <x:v>aktualny XML Kobi</x:v>
      </x:c>
      <x:c r="J223" s="39" t="str">
        <x:v>Napięcie zasilania</x:v>
      </x:c>
      <x:c r="K223" s="52" t="n">
        <x:v>0.97</x:v>
      </x:c>
      <x:c r="L223" s="53" t="str">
        <x:v>OK</x:v>
      </x:c>
      <x:c r="M223" s="53" t="str">
        <x:v>NIE</x:v>
      </x:c>
      <x:c r="N223" s="53" t="str">
        <x:v>Worksheet!AG52</x:v>
      </x:c>
    </x:row>
    <x:row r="224">
      <x:c r="A224" s="45" t="str">
        <x:v>143665</x:v>
      </x:c>
      <x:c r="B224" s="45" t="str">
        <x:v>001820/KOB</x:v>
      </x:c>
      <x:c r="C224" s="39" t="str">
        <x:v>Lampa uliczna z czujnikiem ruchu solarna 30W 3000/4000K 4800lm 2CCT IP65 Kobi Premium 001820</x:v>
      </x:c>
      <x:c r="D224" s="39" t="str">
        <x:v>Lampy uliczne</x:v>
      </x:c>
      <x:c r="E224" s="39" t="str">
        <x:v>Stopień ochrony [IP]</x:v>
      </x:c>
      <x:c r="F224" s="39" t="str">
        <x:v>Atrybut obowiązkowy</x:v>
      </x:c>
      <x:c r="G224" s="39" t="str">
        <x:v>(puste)</x:v>
      </x:c>
      <x:c r="H224" s="39" t="str">
        <x:v>IP 65</x:v>
      </x:c>
      <x:c r="I224" s="39" t="str">
        <x:v>aktualny XML Kobi</x:v>
      </x:c>
      <x:c r="J224" s="39" t="str">
        <x:v>IP</x:v>
      </x:c>
      <x:c r="K224" s="52" t="n">
        <x:v>0.97</x:v>
      </x:c>
      <x:c r="L224" s="53" t="str">
        <x:v>OK</x:v>
      </x:c>
      <x:c r="M224" s="53" t="str">
        <x:v>NIE</x:v>
      </x:c>
      <x:c r="N224" s="53" t="str">
        <x:v>Worksheet!Q52</x:v>
      </x:c>
    </x:row>
    <x:row r="225">
      <x:c r="A225" s="45" t="str">
        <x:v>143665</x:v>
      </x:c>
      <x:c r="B225" s="45" t="str">
        <x:v>001820/KOB</x:v>
      </x:c>
      <x:c r="C225" s="39" t="str">
        <x:v>Lampa uliczna z czujnikiem ruchu solarna 30W 3000/4000K 4800lm 2CCT IP65 Kobi Premium 001820</x:v>
      </x:c>
      <x:c r="D225" s="39" t="str">
        <x:v>Lampy uliczne</x:v>
      </x:c>
      <x:c r="E225" s="39" t="str">
        <x:v>Typ produktu</x:v>
      </x:c>
      <x:c r="F225" s="39" t="str">
        <x:v>Atrybut obowiązkowy</x:v>
      </x:c>
      <x:c r="G225" s="39" t="str">
        <x:v>(puste)</x:v>
      </x:c>
      <x:c r="H225" s="39" t="str">
        <x:v>Oprawa drogowa LED</x:v>
      </x:c>
      <x:c r="I225" s="39" t="str">
        <x:v>aktualny XML Kobi</x:v>
      </x:c>
      <x:c r="J225" s="39" t="str">
        <x:v>typ wywnioskowany z nazwy producenta</x:v>
      </x:c>
      <x:c r="K225" s="52" t="n">
        <x:v>0.88</x:v>
      </x:c>
      <x:c r="L225" s="53" t="str">
        <x:v>WARNING</x:v>
      </x:c>
      <x:c r="M225" s="53" t="str">
        <x:v>NIE</x:v>
      </x:c>
      <x:c r="N225" s="53" t="str">
        <x:v>Worksheet!Y52</x:v>
      </x:c>
    </x:row>
    <x:row r="226">
      <x:c r="A226" s="45" t="str">
        <x:v>143665</x:v>
      </x:c>
      <x:c r="B226" s="45" t="str">
        <x:v>001820/KOB</x:v>
      </x:c>
      <x:c r="C226" s="39" t="str">
        <x:v>Lampa uliczna z czujnikiem ruchu solarna 30W 3000/4000K 4800lm 2CCT IP65 Kobi Premium 001820</x:v>
      </x:c>
      <x:c r="D226" s="39" t="str">
        <x:v>Lampy uliczne</x:v>
      </x:c>
      <x:c r="E226" s="39" t="str">
        <x:v>Zasilanie</x:v>
      </x:c>
      <x:c r="F226" s="39" t="str">
        <x:v>Atrybut obowiązkowy</x:v>
      </x:c>
      <x:c r="G226" s="39" t="str">
        <x:v>(puste)</x:v>
      </x:c>
      <x:c r="H226" s="39" t="str">
        <x:v>Solarne</x:v>
      </x:c>
      <x:c r="I226" s="39" t="str">
        <x:v>kategoria + Kobi XML / nazwa produktu</x:v>
      </x:c>
      <x:c r="J226" s="39" t="str">
        <x:v>rodzaj zasilania</x:v>
      </x:c>
      <x:c r="K226" s="52" t="n">
        <x:v>0.96</x:v>
      </x:c>
      <x:c r="L226" s="53" t="str">
        <x:v>OK</x:v>
      </x:c>
      <x:c r="M226" s="53" t="str">
        <x:v>NIE</x:v>
      </x:c>
      <x:c r="N226" s="53" t="str">
        <x:v>Worksheet!S52</x:v>
      </x:c>
    </x:row>
    <x:row r="227">
      <x:c r="A227" s="45" t="str">
        <x:v>144556</x:v>
      </x:c>
      <x:c r="B227" s="45" t="str">
        <x:v>001807/KOB</x:v>
      </x:c>
      <x:c r="C227" s="39" t="str">
        <x:v>Naświetlacz solarny LED z czujnikiem ruchu HALOGEN MHC 5W 4000K 500lm KOBI 001807</x:v>
      </x:c>
      <x:c r="D227" s="39" t="str">
        <x:v>Naświetlacze LED</x:v>
      </x:c>
      <x:c r="E227" s="39" t="str">
        <x:v>Kąt świecenia [°]</x:v>
      </x:c>
      <x:c r="F227" s="39" t="str">
        <x:v>Atrybut dodatkowy potwierdzony</x:v>
      </x:c>
      <x:c r="G227" s="39" t="str">
        <x:v>(puste)</x:v>
      </x:c>
      <x:c r="H227" s="39" t="str">
        <x:v>90</x:v>
      </x:c>
      <x:c r="I227" s="39" t="str">
        <x:v>aktualny XML Kobi</x:v>
      </x:c>
      <x:c r="J227" s="39" t="str">
        <x:v>Kąt świecenia [°]</x:v>
      </x:c>
      <x:c r="K227" s="52" t="n">
        <x:v>0.97</x:v>
      </x:c>
      <x:c r="L227" s="53" t="str">
        <x:v>OK</x:v>
      </x:c>
      <x:c r="M227" s="53" t="str">
        <x:v>NIE</x:v>
      </x:c>
      <x:c r="N227" s="53" t="str">
        <x:v>Worksheet!W53</x:v>
      </x:c>
    </x:row>
    <x:row r="228">
      <x:c r="A228" s="45" t="str">
        <x:v>144556</x:v>
      </x:c>
      <x:c r="B228" s="45" t="str">
        <x:v>001807/KOB</x:v>
      </x:c>
      <x:c r="C228" s="39" t="str">
        <x:v>Naświetlacz solarny LED z czujnikiem ruchu HALOGEN MHC 5W 4000K 500lm KOBI 001807</x:v>
      </x:c>
      <x:c r="D228" s="39" t="str">
        <x:v>Naświetlacze LED</x:v>
      </x:c>
      <x:c r="E228" s="39" t="str">
        <x:v>Napięcie [V]</x:v>
      </x:c>
      <x:c r="F228" s="39" t="str">
        <x:v>Atrybut dodatkowy potwierdzony</x:v>
      </x:c>
      <x:c r="G228" s="39" t="str">
        <x:v>(puste)</x:v>
      </x:c>
      <x:c r="H228" s="39" t="str">
        <x:v>3</x:v>
      </x:c>
      <x:c r="I228" s="39" t="str">
        <x:v>aktualny XML Kobi</x:v>
      </x:c>
      <x:c r="J228" s="39" t="str">
        <x:v>Napięcie zasilania</x:v>
      </x:c>
      <x:c r="K228" s="52" t="n">
        <x:v>0.97</x:v>
      </x:c>
      <x:c r="L228" s="53" t="str">
        <x:v>OK</x:v>
      </x:c>
      <x:c r="M228" s="53" t="str">
        <x:v>NIE</x:v>
      </x:c>
      <x:c r="N228" s="53" t="str">
        <x:v>Worksheet!AG53</x:v>
      </x:c>
    </x:row>
    <x:row r="229">
      <x:c r="A229" s="45" t="str">
        <x:v>144556</x:v>
      </x:c>
      <x:c r="B229" s="45" t="str">
        <x:v>001807/KOB</x:v>
      </x:c>
      <x:c r="C229" s="39" t="str">
        <x:v>Naświetlacz solarny LED z czujnikiem ruchu HALOGEN MHC 5W 4000K 500lm KOBI 001807</x:v>
      </x:c>
      <x:c r="D229" s="39" t="str">
        <x:v>Naświetlacze LED</x:v>
      </x:c>
      <x:c r="E229" s="39" t="str">
        <x:v>Typ produktu</x:v>
      </x:c>
      <x:c r="F229" s="39" t="str">
        <x:v>Atrybut obowiązkowy</x:v>
      </x:c>
      <x:c r="G229" s="39" t="str">
        <x:v>(puste)</x:v>
      </x:c>
      <x:c r="H229" s="39" t="str">
        <x:v>Naświetlacz LED</x:v>
      </x:c>
      <x:c r="I229" s="39" t="str">
        <x:v>aktualny XML Kobi</x:v>
      </x:c>
      <x:c r="J229" s="39" t="str">
        <x:v>typ wywnioskowany z nazwy producenta</x:v>
      </x:c>
      <x:c r="K229" s="52" t="n">
        <x:v>0.88</x:v>
      </x:c>
      <x:c r="L229" s="53" t="str">
        <x:v>WARNING</x:v>
      </x:c>
      <x:c r="M229" s="53" t="str">
        <x:v>NIE</x:v>
      </x:c>
      <x:c r="N229" s="53" t="str">
        <x:v>Worksheet!Y53</x:v>
      </x:c>
    </x:row>
    <x:row r="230">
      <x:c r="A230" s="45" t="str">
        <x:v>144556</x:v>
      </x:c>
      <x:c r="B230" s="45" t="str">
        <x:v>001807/KOB</x:v>
      </x:c>
      <x:c r="C230" s="39" t="str">
        <x:v>Naświetlacz solarny LED z czujnikiem ruchu HALOGEN MHC 5W 4000K 500lm KOBI 001807</x:v>
      </x:c>
      <x:c r="D230" s="39" t="str">
        <x:v>Naświetlacze LED</x:v>
      </x:c>
      <x:c r="E230" s="39" t="str">
        <x:v>Zasilanie</x:v>
      </x:c>
      <x:c r="F230" s="39" t="str">
        <x:v>Atrybut obowiązkowy</x:v>
      </x:c>
      <x:c r="G230" s="39" t="str">
        <x:v>(puste)</x:v>
      </x:c>
      <x:c r="H230" s="39" t="str">
        <x:v>Solarne</x:v>
      </x:c>
      <x:c r="I230" s="39" t="str">
        <x:v>kategoria + Kobi XML / nazwa produktu</x:v>
      </x:c>
      <x:c r="J230" s="39" t="str">
        <x:v>rodzaj zasilania</x:v>
      </x:c>
      <x:c r="K230" s="52" t="n">
        <x:v>0.96</x:v>
      </x:c>
      <x:c r="L230" s="53" t="str">
        <x:v>OK</x:v>
      </x:c>
      <x:c r="M230" s="53" t="str">
        <x:v>NIE</x:v>
      </x:c>
      <x:c r="N230" s="53" t="str">
        <x:v>Worksheet!S53</x:v>
      </x:c>
    </x:row>
    <x:row r="231">
      <x:c r="A231" s="45" t="str">
        <x:v>145163</x:v>
      </x:c>
      <x:c r="B231" s="45" t="str">
        <x:v>001783/KOB</x:v>
      </x:c>
      <x:c r="C231" s="39" t="str">
        <x:v>Ramka montażowa do panelu LED 60X60 63MM klik Kobi 001783</x:v>
      </x:c>
      <x:c r="D231" s="39" t="str">
        <x:v>Panele LED</x:v>
      </x:c>
      <x:c r="E231" s="39" t="str">
        <x:v>Kolor</x:v>
      </x:c>
      <x:c r="F231" s="39" t="str">
        <x:v>Atrybut dodatkowy potwierdzony</x:v>
      </x:c>
      <x:c r="G231" s="39" t="str">
        <x:v>(puste)</x:v>
      </x:c>
      <x:c r="H231" s="39" t="str">
        <x:v>Biały</x:v>
      </x:c>
      <x:c r="I231" s="39" t="str">
        <x:v>aktualny XML Kobi</x:v>
      </x:c>
      <x:c r="J231" s="39" t="str">
        <x:v>Kolor produktu</x:v>
      </x:c>
      <x:c r="K231" s="52" t="n">
        <x:v>0.97</x:v>
      </x:c>
      <x:c r="L231" s="53" t="str">
        <x:v>OK</x:v>
      </x:c>
      <x:c r="M231" s="53" t="str">
        <x:v>NIE</x:v>
      </x:c>
      <x:c r="N231" s="53" t="str">
        <x:v>Worksheet!T54</x:v>
      </x:c>
    </x:row>
    <x:row r="232">
      <x:c r="A232" s="45" t="str">
        <x:v>146795</x:v>
      </x:c>
      <x:c r="B232" s="45" t="str">
        <x:v>001866/KOB</x:v>
      </x:c>
      <x:c r="C232" s="39" t="str">
        <x:v>Naświetlacz LED US 300W 5000K IP65 60ST DIM Kobi Pro 001866</x:v>
      </x:c>
      <x:c r="D232" s="39" t="str">
        <x:v>Naświetlacze LED</x:v>
      </x:c>
      <x:c r="E232" s="39" t="str">
        <x:v>Barwa światła</x:v>
      </x:c>
      <x:c r="F232" s="39" t="str">
        <x:v>Atrybut obowiązkowy</x:v>
      </x:c>
      <x:c r="G232" s="39" t="str">
        <x:v>(puste)</x:v>
      </x:c>
      <x:c r="H232" s="39" t="str">
        <x:v>Neutralna</x:v>
      </x:c>
      <x:c r="I232" s="39" t="str">
        <x:v>nazwa produktu w eksporcie WooCommerce</x:v>
      </x:c>
      <x:c r="J232" s="39" t="str">
        <x:v>temperatura barwowa w nazwie</x:v>
      </x:c>
      <x:c r="K232" s="52" t="n">
        <x:v>0.95</x:v>
      </x:c>
      <x:c r="L232" s="53" t="str">
        <x:v>OK</x:v>
      </x:c>
      <x:c r="M232" s="53" t="str">
        <x:v>NIE</x:v>
      </x:c>
      <x:c r="N232" s="53" t="str">
        <x:v>Worksheet!P55</x:v>
      </x:c>
    </x:row>
    <x:row r="233">
      <x:c r="A233" s="45" t="str">
        <x:v>146795</x:v>
      </x:c>
      <x:c r="B233" s="45" t="str">
        <x:v>001866/KOB</x:v>
      </x:c>
      <x:c r="C233" s="39" t="str">
        <x:v>Naświetlacz LED US 300W 5000K IP65 60ST DIM Kobi Pro 001866</x:v>
      </x:c>
      <x:c r="D233" s="39" t="str">
        <x:v>Naświetlacze LED</x:v>
      </x:c>
      <x:c r="E233" s="39" t="str">
        <x:v>Czujnik ruchu</x:v>
      </x:c>
      <x:c r="F233" s="39" t="str">
        <x:v>Atrybut obowiązkowy</x:v>
      </x:c>
      <x:c r="G233" s="39" t="str">
        <x:v>(puste)</x:v>
      </x:c>
      <x:c r="H233" s="39" t="str">
        <x:v>Nie</x:v>
      </x:c>
      <x:c r="I233" s="39" t="str">
        <x:v>Kobi XML + nazwa produktu</x:v>
      </x:c>
      <x:c r="J233" s="39" t="str">
        <x:v>Typ czujnika / nazwa</x:v>
      </x:c>
      <x:c r="K233" s="52" t="n">
        <x:v>0.98</x:v>
      </x:c>
      <x:c r="L233" s="53" t="str">
        <x:v>OK</x:v>
      </x:c>
      <x:c r="M233" s="53" t="str">
        <x:v>NIE</x:v>
      </x:c>
      <x:c r="N233" s="53" t="str">
        <x:v>Worksheet!X55</x:v>
      </x:c>
    </x:row>
    <x:row r="234">
      <x:c r="A234" s="45" t="str">
        <x:v>146795</x:v>
      </x:c>
      <x:c r="B234" s="45" t="str">
        <x:v>001866/KOB</x:v>
      </x:c>
      <x:c r="C234" s="39" t="str">
        <x:v>Naświetlacz LED US 300W 5000K IP65 60ST DIM Kobi Pro 001866</x:v>
      </x:c>
      <x:c r="D234" s="39" t="str">
        <x:v>Naświetlacze LED</x:v>
      </x:c>
      <x:c r="E234" s="39" t="str">
        <x:v>Kąt świecenia [°]</x:v>
      </x:c>
      <x:c r="F234" s="39" t="str">
        <x:v>Atrybut dodatkowy potwierdzony</x:v>
      </x:c>
      <x:c r="G234" s="39" t="str">
        <x:v>(puste)</x:v>
      </x:c>
      <x:c r="H234" s="39" t="str">
        <x:v>60</x:v>
      </x:c>
      <x:c r="I234" s="39" t="str">
        <x:v>aktualny XML Kobi</x:v>
      </x:c>
      <x:c r="J234" s="39" t="str">
        <x:v>Kąt świecenia [°]</x:v>
      </x:c>
      <x:c r="K234" s="52" t="n">
        <x:v>0.97</x:v>
      </x:c>
      <x:c r="L234" s="53" t="str">
        <x:v>OK</x:v>
      </x:c>
      <x:c r="M234" s="53" t="str">
        <x:v>NIE</x:v>
      </x:c>
      <x:c r="N234" s="53" t="str">
        <x:v>Worksheet!W55</x:v>
      </x:c>
    </x:row>
    <x:row r="235">
      <x:c r="A235" s="45" t="str">
        <x:v>146795</x:v>
      </x:c>
      <x:c r="B235" s="45" t="str">
        <x:v>001866/KOB</x:v>
      </x:c>
      <x:c r="C235" s="39" t="str">
        <x:v>Naświetlacz LED US 300W 5000K IP65 60ST DIM Kobi Pro 001866</x:v>
      </x:c>
      <x:c r="D235" s="39" t="str">
        <x:v>Naświetlacze LED</x:v>
      </x:c>
      <x:c r="E235" s="39" t="str">
        <x:v>Napięcie [V]</x:v>
      </x:c>
      <x:c r="F235" s="39" t="str">
        <x:v>Atrybut dodatkowy potwierdzony</x:v>
      </x:c>
      <x:c r="G235" s="39" t="str">
        <x:v>(puste)</x:v>
      </x:c>
      <x:c r="H235" s="39" t="str">
        <x:v>230</x:v>
      </x:c>
      <x:c r="I235" s="39" t="str">
        <x:v>aktualny XML Kobi</x:v>
      </x:c>
      <x:c r="J235" s="39" t="str">
        <x:v>Napięcie zasilania</x:v>
      </x:c>
      <x:c r="K235" s="52" t="n">
        <x:v>0.97</x:v>
      </x:c>
      <x:c r="L235" s="53" t="str">
        <x:v>OK</x:v>
      </x:c>
      <x:c r="M235" s="53" t="str">
        <x:v>NIE</x:v>
      </x:c>
      <x:c r="N235" s="53" t="str">
        <x:v>Worksheet!AG55</x:v>
      </x:c>
    </x:row>
    <x:row r="236">
      <x:c r="A236" s="45" t="str">
        <x:v>146795</x:v>
      </x:c>
      <x:c r="B236" s="45" t="str">
        <x:v>001866/KOB</x:v>
      </x:c>
      <x:c r="C236" s="39" t="str">
        <x:v>Naświetlacz LED US 300W 5000K IP65 60ST DIM Kobi Pro 001866</x:v>
      </x:c>
      <x:c r="D236" s="39" t="str">
        <x:v>Naświetlacze LED</x:v>
      </x:c>
      <x:c r="E236" s="39" t="str">
        <x:v>Typ produktu</x:v>
      </x:c>
      <x:c r="F236" s="39" t="str">
        <x:v>Atrybut obowiązkowy</x:v>
      </x:c>
      <x:c r="G236" s="39" t="str">
        <x:v>(puste)</x:v>
      </x:c>
      <x:c r="H236" s="39" t="str">
        <x:v>Naświetlacz LED</x:v>
      </x:c>
      <x:c r="I236" s="39" t="str">
        <x:v>aktualny XML Kobi</x:v>
      </x:c>
      <x:c r="J236" s="39" t="str">
        <x:v>typ wywnioskowany z nazwy producenta</x:v>
      </x:c>
      <x:c r="K236" s="52" t="n">
        <x:v>0.88</x:v>
      </x:c>
      <x:c r="L236" s="53" t="str">
        <x:v>WARNING</x:v>
      </x:c>
      <x:c r="M236" s="53" t="str">
        <x:v>NIE</x:v>
      </x:c>
      <x:c r="N236" s="53" t="str">
        <x:v>Worksheet!Y55</x:v>
      </x:c>
    </x:row>
    <x:row r="237">
      <x:c r="A237" s="45" t="str">
        <x:v>146795</x:v>
      </x:c>
      <x:c r="B237" s="45" t="str">
        <x:v>001866/KOB</x:v>
      </x:c>
      <x:c r="C237" s="39" t="str">
        <x:v>Naświetlacz LED US 300W 5000K IP65 60ST DIM Kobi Pro 001866</x:v>
      </x:c>
      <x:c r="D237" s="39" t="str">
        <x:v>Naświetlacze LED</x:v>
      </x:c>
      <x:c r="E237" s="39" t="str">
        <x:v>Zasilanie</x:v>
      </x:c>
      <x:c r="F237" s="39" t="str">
        <x:v>Atrybut obowiązkowy</x:v>
      </x:c>
      <x:c r="G237" s="39" t="str">
        <x:v>(puste)</x:v>
      </x:c>
      <x:c r="H237" s="39" t="str">
        <x:v>Sieciowe</x:v>
      </x:c>
      <x:c r="I237" s="39" t="str">
        <x:v>kategoria + Kobi XML / nazwa produktu</x:v>
      </x:c>
      <x:c r="J237" s="39" t="str">
        <x:v>rodzaj zasilania</x:v>
      </x:c>
      <x:c r="K237" s="52" t="n">
        <x:v>0.96</x:v>
      </x:c>
      <x:c r="L237" s="53" t="str">
        <x:v>OK</x:v>
      </x:c>
      <x:c r="M237" s="53" t="str">
        <x:v>NIE</x:v>
      </x:c>
      <x:c r="N237" s="53" t="str">
        <x:v>Worksheet!S55</x:v>
      </x:c>
    </x:row>
    <x:row r="238">
      <x:c r="A238" s="45" t="str">
        <x:v>157177</x:v>
      </x:c>
      <x:c r="B238" s="45" t="str">
        <x:v>001792/KOB</x:v>
      </x:c>
      <x:c r="C238" s="39" t="str">
        <x:v>Oprawa hermetyczna liniowa LED NEGRO 36W 6000K Kobi Premium 001792</x:v>
      </x:c>
      <x:c r="D238" s="39" t="str">
        <x:v>Oprawy hermetyczne</x:v>
      </x:c>
      <x:c r="E238" s="39" t="str">
        <x:v>Barwa światła</x:v>
      </x:c>
      <x:c r="F238" s="39" t="str">
        <x:v>Atrybut obowiązkowy</x:v>
      </x:c>
      <x:c r="G238" s="39" t="str">
        <x:v>(puste)</x:v>
      </x:c>
      <x:c r="H238" s="39" t="str">
        <x:v>Zimna</x:v>
      </x:c>
      <x:c r="I238" s="39" t="str">
        <x:v>nazwa produktu w eksporcie WooCommerce</x:v>
      </x:c>
      <x:c r="J238" s="39" t="str">
        <x:v>temperatura barwowa w nazwie</x:v>
      </x:c>
      <x:c r="K238" s="52" t="n">
        <x:v>0.95</x:v>
      </x:c>
      <x:c r="L238" s="53" t="str">
        <x:v>OK</x:v>
      </x:c>
      <x:c r="M238" s="53" t="str">
        <x:v>NIE</x:v>
      </x:c>
      <x:c r="N238" s="53" t="str">
        <x:v>Worksheet!P56</x:v>
      </x:c>
    </x:row>
    <x:row r="239">
      <x:c r="A239" s="45" t="str">
        <x:v>157177</x:v>
      </x:c>
      <x:c r="B239" s="45" t="str">
        <x:v>001792/KOB</x:v>
      </x:c>
      <x:c r="C239" s="39" t="str">
        <x:v>Oprawa hermetyczna liniowa LED NEGRO 36W 6000K Kobi Premium 001792</x:v>
      </x:c>
      <x:c r="D239" s="39" t="str">
        <x:v>Oprawy hermetyczne</x:v>
      </x:c>
      <x:c r="E239" s="39" t="str">
        <x:v>Kąt świecenia [°]</x:v>
      </x:c>
      <x:c r="F239" s="39" t="str">
        <x:v>Atrybut dodatkowy potwierdzony</x:v>
      </x:c>
      <x:c r="G239" s="39" t="str">
        <x:v>(puste)</x:v>
      </x:c>
      <x:c r="H239" s="39" t="str">
        <x:v>120</x:v>
      </x:c>
      <x:c r="I239" s="39" t="str">
        <x:v>aktualny XML Kobi</x:v>
      </x:c>
      <x:c r="J239" s="39" t="str">
        <x:v>Kąt świecenia [°]</x:v>
      </x:c>
      <x:c r="K239" s="52" t="n">
        <x:v>0.97</x:v>
      </x:c>
      <x:c r="L239" s="53" t="str">
        <x:v>OK</x:v>
      </x:c>
      <x:c r="M239" s="53" t="str">
        <x:v>NIE</x:v>
      </x:c>
      <x:c r="N239" s="53" t="str">
        <x:v>Worksheet!W56</x:v>
      </x:c>
    </x:row>
    <x:row r="240">
      <x:c r="A240" s="45" t="str">
        <x:v>157177</x:v>
      </x:c>
      <x:c r="B240" s="45" t="str">
        <x:v>001792/KOB</x:v>
      </x:c>
      <x:c r="C240" s="39" t="str">
        <x:v>Oprawa hermetyczna liniowa LED NEGRO 36W 6000K Kobi Premium 001792</x:v>
      </x:c>
      <x:c r="D240" s="39" t="str">
        <x:v>Oprawy hermetyczne</x:v>
      </x:c>
      <x:c r="E240" s="39" t="str">
        <x:v>Kolor</x:v>
      </x:c>
      <x:c r="F240" s="39" t="str">
        <x:v>Atrybut dodatkowy potwierdzony</x:v>
      </x:c>
      <x:c r="G240" s="39" t="str">
        <x:v>(puste)</x:v>
      </x:c>
      <x:c r="H240" s="39" t="str">
        <x:v>Szary</x:v>
      </x:c>
      <x:c r="I240" s="39" t="str">
        <x:v>aktualny XML Kobi</x:v>
      </x:c>
      <x:c r="J240" s="39" t="str">
        <x:v>Kolor produktu</x:v>
      </x:c>
      <x:c r="K240" s="52" t="n">
        <x:v>0.97</x:v>
      </x:c>
      <x:c r="L240" s="53" t="str">
        <x:v>OK</x:v>
      </x:c>
      <x:c r="M240" s="53" t="str">
        <x:v>NIE</x:v>
      </x:c>
      <x:c r="N240" s="53" t="str">
        <x:v>Worksheet!T56</x:v>
      </x:c>
    </x:row>
    <x:row r="241">
      <x:c r="A241" s="45" t="str">
        <x:v>157177</x:v>
      </x:c>
      <x:c r="B241" s="45" t="str">
        <x:v>001792/KOB</x:v>
      </x:c>
      <x:c r="C241" s="39" t="str">
        <x:v>Oprawa hermetyczna liniowa LED NEGRO 36W 6000K Kobi Premium 001792</x:v>
      </x:c>
      <x:c r="D241" s="39" t="str">
        <x:v>Oprawy hermetyczne</x:v>
      </x:c>
      <x:c r="E241" s="39" t="str">
        <x:v>Napięcie [V]</x:v>
      </x:c>
      <x:c r="F241" s="39" t="str">
        <x:v>Atrybut dodatkowy potwierdzony</x:v>
      </x:c>
      <x:c r="G241" s="39" t="str">
        <x:v>(puste)</x:v>
      </x:c>
      <x:c r="H241" s="39" t="str">
        <x:v>230</x:v>
      </x:c>
      <x:c r="I241" s="39" t="str">
        <x:v>aktualny XML Kobi</x:v>
      </x:c>
      <x:c r="J241" s="39" t="str">
        <x:v>Napięcie zasilania</x:v>
      </x:c>
      <x:c r="K241" s="52" t="n">
        <x:v>0.97</x:v>
      </x:c>
      <x:c r="L241" s="53" t="str">
        <x:v>OK</x:v>
      </x:c>
      <x:c r="M241" s="53" t="str">
        <x:v>NIE</x:v>
      </x:c>
      <x:c r="N241" s="53" t="str">
        <x:v>Worksheet!AG56</x:v>
      </x:c>
    </x:row>
    <x:row r="242">
      <x:c r="A242" s="45" t="str">
        <x:v>157177</x:v>
      </x:c>
      <x:c r="B242" s="45" t="str">
        <x:v>001792/KOB</x:v>
      </x:c>
      <x:c r="C242" s="39" t="str">
        <x:v>Oprawa hermetyczna liniowa LED NEGRO 36W 6000K Kobi Premium 001792</x:v>
      </x:c>
      <x:c r="D242" s="39" t="str">
        <x:v>Oprawy hermetyczne</x:v>
      </x:c>
      <x:c r="E242" s="39" t="str">
        <x:v>Typ produktu</x:v>
      </x:c>
      <x:c r="F242" s="39" t="str">
        <x:v>Atrybut obowiązkowy</x:v>
      </x:c>
      <x:c r="G242" s="39" t="str">
        <x:v>(puste)</x:v>
      </x:c>
      <x:c r="H242" s="39" t="str">
        <x:v>Oprawa hermetyczna</x:v>
      </x:c>
      <x:c r="I242" s="39" t="str">
        <x:v>aktualny XML Kobi</x:v>
      </x:c>
      <x:c r="J242" s="39" t="str">
        <x:v>typ wywnioskowany z nazwy producenta</x:v>
      </x:c>
      <x:c r="K242" s="52" t="n">
        <x:v>0.88</x:v>
      </x:c>
      <x:c r="L242" s="53" t="str">
        <x:v>WARNING</x:v>
      </x:c>
      <x:c r="M242" s="53" t="str">
        <x:v>NIE</x:v>
      </x:c>
      <x:c r="N242" s="53" t="str">
        <x:v>Worksheet!Y56</x:v>
      </x:c>
    </x:row>
    <x:row r="243">
      <x:c r="A243" s="46" t="str">
        <x:v>157177</x:v>
      </x:c>
      <x:c r="B243" s="46" t="str">
        <x:v>001792/KOB</x:v>
      </x:c>
      <x:c r="C243" s="40" t="str">
        <x:v>Oprawa hermetyczna liniowa LED NEGRO 36W 6000K Kobi Premium 001792</x:v>
      </x:c>
      <x:c r="D243" s="40" t="str">
        <x:v>Oprawy hermetyczne</x:v>
      </x:c>
      <x:c r="E243" s="40" t="str">
        <x:v>Źródło światła</x:v>
      </x:c>
      <x:c r="F243" s="40" t="str">
        <x:v>Atrybut obowiązkowy</x:v>
      </x:c>
      <x:c r="G243" s="40" t="str">
        <x:v>(puste)</x:v>
      </x:c>
      <x:c r="H243" s="40" t="str">
        <x:v>Zintegrowane</x:v>
      </x:c>
      <x:c r="I243" s="40" t="str">
        <x:v>Kobi XML + nazwa produktu</x:v>
      </x:c>
      <x:c r="J243" s="40" t="str">
        <x:v>LED w konstrukcji oprawy</x:v>
      </x:c>
      <x:c r="K243" s="54" t="n">
        <x:v>0.96</x:v>
      </x:c>
      <x:c r="L243" s="55" t="str">
        <x:v>OK</x:v>
      </x:c>
      <x:c r="M243" s="55" t="str">
        <x:v>NIE</x:v>
      </x:c>
      <x:c r="N243" s="55" t="str">
        <x:v>Worksheet!AL56</x:v>
      </x:c>
    </x:row>
  </x:sheetData>
  <x:conditionalFormatting sqref="L2:L243">
    <x:cfRule type="expression" dxfId="0" priority="1">
      <x:formula>L2="KOMPLET"</x:formula>
    </x:cfRule>
    <x:cfRule type="expression" dxfId="1" priority="2">
      <x:formula>L2="OK"</x:formula>
    </x:cfRule>
    <x:cfRule type="expression" dxfId="2" priority="3">
      <x:formula>L2="BEZ ZMIAN"</x:formula>
    </x:cfRule>
    <x:cfRule type="expression" dxfId="3" priority="4">
      <x:formula>L2="WARNING"</x:formula>
    </x:cfRule>
    <x:cfRule type="expression" dxfId="4" priority="5">
      <x:formula>L2="DO_SPRAWDZENIA"</x:formula>
    </x:cfRule>
    <x:cfRule type="expression" dxfId="5" priority="6">
      <x:formula>L2="NIE_DOTYCZY"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8ce2d1cad8c46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60" hidden="0" customWidth="1"/>
    <x:col min="4" max="4" width="76" hidden="0" customWidth="1"/>
    <x:col min="5" max="5" width="38" hidden="0" customWidth="1"/>
    <x:col min="6" max="6" width="72" hidden="0" customWidth="1"/>
    <x:col min="7" max="7" width="16" hidden="0" customWidth="1"/>
    <x:col min="8" max="8" width="58" hidden="0" customWidth="1"/>
    <x:col min="9" max="9" width="58" hidden="0" customWidth="1"/>
    <x:col min="10" max="10" width="48" hidden="0" customWidth="1"/>
    <x:col min="11" max="11" width="60" hidden="0" customWidth="1"/>
    <x:col min="12" max="12" width="22" hidden="0" customWidth="1"/>
  </x:cols>
  <x:sheetData>
    <x:row r="1" ht="46" customHeight="1">
      <x:c r="A1" s="12" t="str">
        <x:v>ID produktu</x:v>
      </x:c>
      <x:c r="B1" s="12" t="str">
        <x:v>SKU</x:v>
      </x:c>
      <x:c r="C1" s="12" t="str">
        <x:v>Tytuł produktu</x:v>
      </x:c>
      <x:c r="D1" s="12" t="str">
        <x:v>Kategorie z pliku</x:v>
      </x:c>
      <x:c r="E1" s="12" t="str">
        <x:v>Reguła kategorii</x:v>
      </x:c>
      <x:c r="F1" s="12" t="str">
        <x:v>Atrybuty obowiązkowe</x:v>
      </x:c>
      <x:c r="G1" s="12" t="str">
        <x:v>Liczba zmian</x:v>
      </x:c>
      <x:c r="H1" s="12" t="str">
        <x:v>Dodane obowiązkowe</x:v>
      </x:c>
      <x:c r="I1" s="12" t="str">
        <x:v>Dodane dodatkowe</x:v>
      </x:c>
      <x:c r="J1" s="12" t="str">
        <x:v>Brakujące atrybuty</x:v>
      </x:c>
      <x:c r="K1" s="12" t="str">
        <x:v>Wyjątki warunkowe</x:v>
      </x:c>
      <x:c r="L1" s="12" t="str">
        <x:v>Status kompletności</x:v>
      </x:c>
    </x:row>
    <x:row r="2">
      <x:c r="A2" s="44" t="str">
        <x:v>25274</x:v>
      </x:c>
      <x:c r="B2" s="44" t="str">
        <x:v>KPOH36CH/KOB</x:v>
      </x:c>
      <x:c r="C2" s="38" t="str">
        <x:v>Oprawa Downlight GU10 tuba ruchoma chrom aluminium Kobi OH36 KPOH36CH</x:v>
      </x:c>
      <x:c r="D2" s="38" t="str">
        <x:v>Oświetlenie&gt;Oświetlenie wewnętrzne&gt;Oprawy natynkowe|Outlet|Wyprzedaż</x:v>
      </x:c>
      <x:c r="E2" s="38" t="str">
        <x:v>Oprawy natynkowe</x:v>
      </x:c>
      <x:c r="F2" s="38" t="str">
        <x:v>Producent; Kolor; Trzonek; Stopień ochrony [IP]; Liczba źródeł światła; Dane producenta; Sposób montażu</x:v>
      </x:c>
      <x:c r="G2" s="56" t="n">
        <x:v>3</x:v>
      </x:c>
      <x:c r="H2" s="38" t="str">
        <x:v>Liczba źródeł światła; Sposób montażu; Stopień ochrony [IP]</x:v>
      </x:c>
      <x:c r="I2" s="38" t="str">
        <x:v>—</x:v>
      </x:c>
      <x:c r="J2" s="38" t="str">
        <x:v>—</x:v>
      </x:c>
      <x:c r="K2" s="38" t="str">
        <x:v>—</x:v>
      </x:c>
      <x:c r="L2" s="51" t="str">
        <x:v>KOMPLET</x:v>
      </x:c>
    </x:row>
    <x:row r="3">
      <x:c r="A3" s="45" t="str">
        <x:v>25276</x:v>
      </x:c>
      <x:c r="B3" s="45" t="str">
        <x:v>002091/KOB</x:v>
      </x:c>
      <x:c r="C3" s="39" t="str">
        <x:v>Oprawa Downlight GU10 tuba ruchoma czarna Kobi OH36 KPOH36CZ</x:v>
      </x:c>
      <x:c r="D3" s="39" t="str">
        <x:v>Oświetlenie&gt;Oświetlenie wewnętrzne&gt;Oprawy natynkowe</x:v>
      </x:c>
      <x:c r="E3" s="39" t="str">
        <x:v>Oprawy natynkowe</x:v>
      </x:c>
      <x:c r="F3" s="39" t="str">
        <x:v>Producent; Kolor; Trzonek; Stopień ochrony [IP]; Liczba źródeł światła; Dane producenta; Sposób montażu</x:v>
      </x:c>
      <x:c r="G3" s="57" t="n">
        <x:v>4</x:v>
      </x:c>
      <x:c r="H3" s="39" t="str">
        <x:v>Liczba źródeł światła; Sposób montażu; Stopień ochrony [IP]</x:v>
      </x:c>
      <x:c r="I3" s="39" t="str">
        <x:v>Napięcie [V]</x:v>
      </x:c>
      <x:c r="J3" s="39" t="str">
        <x:v>—</x:v>
      </x:c>
      <x:c r="K3" s="39" t="str">
        <x:v>—</x:v>
      </x:c>
      <x:c r="L3" s="53" t="str">
        <x:v>KOMPLET</x:v>
      </x:c>
    </x:row>
    <x:row r="4">
      <x:c r="A4" s="45" t="str">
        <x:v>25278</x:v>
      </x:c>
      <x:c r="B4" s="45" t="str">
        <x:v>002099/KOB</x:v>
      </x:c>
      <x:c r="C4" s="39" t="str">
        <x:v>Oprawa DWONLIGHT GU10 sześcian ruchomy chrom aluminium KOBI OH37 KPOH37CH</x:v>
      </x:c>
      <x:c r="D4" s="39" t="str">
        <x:v>Oświetlenie&gt;Oświetlenie wewnętrzne&gt;Oprawy natynkowe|Outlet|Wyprzedaż</x:v>
      </x:c>
      <x:c r="E4" s="39" t="str">
        <x:v>Oprawy natynkowe</x:v>
      </x:c>
      <x:c r="F4" s="39" t="str">
        <x:v>Producent; Kolor; Trzonek; Stopień ochrony [IP]; Liczba źródeł światła; Dane producenta; Sposób montażu</x:v>
      </x:c>
      <x:c r="G4" s="57" t="n">
        <x:v>4</x:v>
      </x:c>
      <x:c r="H4" s="39" t="str">
        <x:v>Liczba źródeł światła; Sposób montażu; Stopień ochrony [IP]</x:v>
      </x:c>
      <x:c r="I4" s="39" t="str">
        <x:v>Napięcie [V]</x:v>
      </x:c>
      <x:c r="J4" s="39" t="str">
        <x:v>—</x:v>
      </x:c>
      <x:c r="K4" s="39" t="str">
        <x:v>—</x:v>
      </x:c>
      <x:c r="L4" s="53" t="str">
        <x:v>KOMPLET</x:v>
      </x:c>
    </x:row>
    <x:row r="5">
      <x:c r="A5" s="45" t="str">
        <x:v>32072</x:v>
      </x:c>
      <x:c r="B5" s="45" t="str">
        <x:v>001605/KOB</x:v>
      </x:c>
      <x:c r="C5" s="39" t="str">
        <x:v>Oprawa hermetyczna IP65 bez statecznika (do świetlówek LED) 2x120CM KOBI HERMETIC KFHCE2120</x:v>
      </x:c>
      <x:c r="D5" s="39" t="str">
        <x:v>Oświetlenie&gt;Oświetlenie przemysłowe wewnętrzne&gt;Lampy hermetyczne</x:v>
      </x:c>
      <x:c r="E5" s="39" t="str">
        <x:v>Oprawy hermetyczne</x:v>
      </x:c>
      <x:c r="F5" s="39" t="str">
        <x:v>Producent; Stopień ochrony [IP]; Długość; Typ produktu; Dane producenta; Źródło światła</x:v>
      </x:c>
      <x:c r="G5" s="57" t="n">
        <x:v>6</x:v>
      </x:c>
      <x:c r="H5" s="39" t="str">
        <x:v>Stopień ochrony [IP]; Typ produktu; Źródło światła</x:v>
      </x:c>
      <x:c r="I5" s="39" t="str">
        <x:v>Kolor; Napięcie [V]; Trzonek</x:v>
      </x:c>
      <x:c r="J5" s="39" t="str">
        <x:v>—</x:v>
      </x:c>
      <x:c r="K5" s="39" t="str">
        <x:v>Moc [W] — oprawa bez źródeł światła; Strumień świetlny [lm] — oprawa bez źródeł światła; Barwa światła — oprawa bez źródeł światła</x:v>
      </x:c>
      <x:c r="L5" s="53" t="str">
        <x:v>KOMPLET</x:v>
      </x:c>
    </x:row>
    <x:row r="6">
      <x:c r="A6" s="45" t="str">
        <x:v>32076</x:v>
      </x:c>
      <x:c r="B6" s="45" t="str">
        <x:v>001607/KOB</x:v>
      </x:c>
      <x:c r="C6" s="39" t="str">
        <x:v>Oprawa hermetyczna IP65 bez statecznika (do świetlówek LED) 2x60CM KOBI HERMETIC KFHCE260</x:v>
      </x:c>
      <x:c r="D6" s="39" t="str">
        <x:v>Oświetlenie&gt;Oświetlenie przemysłowe wewnętrzne&gt;Lampy hermetyczne</x:v>
      </x:c>
      <x:c r="E6" s="39" t="str">
        <x:v>Oprawy hermetyczne</x:v>
      </x:c>
      <x:c r="F6" s="39" t="str">
        <x:v>Producent; Stopień ochrony [IP]; Długość; Typ produktu; Dane producenta; Źródło światła</x:v>
      </x:c>
      <x:c r="G6" s="57" t="n">
        <x:v>6</x:v>
      </x:c>
      <x:c r="H6" s="39" t="str">
        <x:v>Stopień ochrony [IP]; Typ produktu; Źródło światła</x:v>
      </x:c>
      <x:c r="I6" s="39" t="str">
        <x:v>Kolor; Napięcie [V]; Trzonek</x:v>
      </x:c>
      <x:c r="J6" s="39" t="str">
        <x:v>—</x:v>
      </x:c>
      <x:c r="K6" s="39" t="str">
        <x:v>Moc [W] — oprawa bez źródeł światła; Strumień świetlny [lm] — oprawa bez źródeł światła; Barwa światła — oprawa bez źródeł światła</x:v>
      </x:c>
      <x:c r="L6" s="53" t="str">
        <x:v>KOMPLET</x:v>
      </x:c>
    </x:row>
    <x:row r="7">
      <x:c r="A7" s="45" t="str">
        <x:v>33537</x:v>
      </x:c>
      <x:c r="B7" s="45" t="str">
        <x:v>KQLI10W/KOB</x:v>
      </x:c>
      <x:c r="C7" s="39" t="str">
        <x:v>Oprawa N/T ruchoma 3000K biała LAHTI 10W KQLI10W</x:v>
      </x:c>
      <x:c r="D7" s="39" t="str">
        <x:v>Oświetlenie&gt;Oświetlenie wewnętrzne&gt;Oprawy natynkowe|Outlet|Wyprzedaż</x:v>
      </x:c>
      <x:c r="E7" s="39" t="str">
        <x:v>Oprawy natynkowe</x:v>
      </x:c>
      <x:c r="F7" s="39" t="str">
        <x:v>Producent; Kolor; Stopień ochrony [IP]; Dane producenta; Sposób montażu</x:v>
      </x:c>
      <x:c r="G7" s="57" t="n">
        <x:v>2</x:v>
      </x:c>
      <x:c r="H7" s="39" t="str">
        <x:v>Kolor; Sposób montażu</x:v>
      </x:c>
      <x:c r="I7" s="39" t="str">
        <x:v>—</x:v>
      </x:c>
      <x:c r="J7" s="39" t="str">
        <x:v>Stopień ochrony [IP]</x:v>
      </x:c>
      <x:c r="K7" s="39" t="str">
        <x:v>Trzonek — zintegrowane źródło LED; Liczba źródeł światła — zintegrowany moduł LED</x:v>
      </x:c>
      <x:c r="L7" s="53" t="str">
        <x:v>DO_SPRAWDZENIA</x:v>
      </x:c>
    </x:row>
    <x:row r="8">
      <x:c r="A8" s="45" t="str">
        <x:v>33541</x:v>
      </x:c>
      <x:c r="B8" s="45" t="str">
        <x:v>002184/KOB</x:v>
      </x:c>
      <x:c r="C8" s="39" t="str">
        <x:v>Oprawa natynkowa gipsowa LINDO CHROME 1XGU10 Biała KRLC</x:v>
      </x:c>
      <x:c r="D8" s="39" t="str">
        <x:v>Oświetlenie&gt;Oświetlenie wewnętrzne&gt;Oprawy natynkowe|Outlet|Wyprzedaż</x:v>
      </x:c>
      <x:c r="E8" s="39" t="str">
        <x:v>Oprawy natynkowe</x:v>
      </x:c>
      <x:c r="F8" s="39" t="str">
        <x:v>Producent; Kolor; Trzonek; Stopień ochrony [IP]; Liczba źródeł światła; Dane producenta; Sposób montażu</x:v>
      </x:c>
      <x:c r="G8" s="57" t="n">
        <x:v>3</x:v>
      </x:c>
      <x:c r="H8" s="39" t="str">
        <x:v>Kolor; Liczba źródeł światła; Sposób montażu</x:v>
      </x:c>
      <x:c r="I8" s="39" t="str">
        <x:v>—</x:v>
      </x:c>
      <x:c r="J8" s="39" t="str">
        <x:v>Stopień ochrony [IP]</x:v>
      </x:c>
      <x:c r="K8" s="39" t="str">
        <x:v>—</x:v>
      </x:c>
      <x:c r="L8" s="53" t="str">
        <x:v>DO_SPRAWDZENIA</x:v>
      </x:c>
    </x:row>
    <x:row r="9">
      <x:c r="A9" s="45" t="str">
        <x:v>33545</x:v>
      </x:c>
      <x:c r="B9" s="45" t="str">
        <x:v>002196/KOB</x:v>
      </x:c>
      <x:c r="C9" s="39" t="str">
        <x:v>Oprawa N/T beton 2XGU10 chrom PURO MASSO KRPMC</x:v>
      </x:c>
      <x:c r="D9" s="39" t="str">
        <x:v>Oświetlenie&gt;Oświetlenie wewnętrzne&gt;Oprawy natynkowe|Outlet|Wyprzedaż</x:v>
      </x:c>
      <x:c r="E9" s="39" t="str">
        <x:v>Oprawy natynkowe</x:v>
      </x:c>
      <x:c r="F9" s="39" t="str">
        <x:v>Producent; Kolor; Trzonek; Stopień ochrony [IP]; Liczba źródeł światła; Dane producenta; Sposób montażu</x:v>
      </x:c>
      <x:c r="G9" s="57" t="n">
        <x:v>3</x:v>
      </x:c>
      <x:c r="H9" s="39" t="str">
        <x:v>Kolor; Liczba źródeł światła; Sposób montażu</x:v>
      </x:c>
      <x:c r="I9" s="39" t="str">
        <x:v>—</x:v>
      </x:c>
      <x:c r="J9" s="39" t="str">
        <x:v>Stopień ochrony [IP]</x:v>
      </x:c>
      <x:c r="K9" s="39" t="str">
        <x:v>—</x:v>
      </x:c>
      <x:c r="L9" s="53" t="str">
        <x:v>DO_SPRAWDZENIA</x:v>
      </x:c>
    </x:row>
    <x:row r="10">
      <x:c r="A10" s="45" t="str">
        <x:v>33547</x:v>
      </x:c>
      <x:c r="B10" s="45" t="str">
        <x:v>002198/KOB</x:v>
      </x:c>
      <x:c r="C10" s="39" t="str">
        <x:v>Oprawa N/T Gipsowa 2XGU10 Czarna PURO NERO KRPN</x:v>
      </x:c>
      <x:c r="D10" s="39" t="str">
        <x:v>Oświetlenie&gt;Oświetlenie wewnętrzne&gt;Oprawy natynkowe|Outlet|Wyprzedaż</x:v>
      </x:c>
      <x:c r="E10" s="39" t="str">
        <x:v>Oprawy natynkowe</x:v>
      </x:c>
      <x:c r="F10" s="39" t="str">
        <x:v>Producent; Kolor; Trzonek; Stopień ochrony [IP]; Liczba źródeł światła; Dane producenta; Sposób montażu</x:v>
      </x:c>
      <x:c r="G10" s="57" t="n">
        <x:v>3</x:v>
      </x:c>
      <x:c r="H10" s="39" t="str">
        <x:v>Kolor; Liczba źródeł światła; Sposób montażu</x:v>
      </x:c>
      <x:c r="I10" s="39" t="str">
        <x:v>—</x:v>
      </x:c>
      <x:c r="J10" s="39" t="str">
        <x:v>Stopień ochrony [IP]</x:v>
      </x:c>
      <x:c r="K10" s="39" t="str">
        <x:v>—</x:v>
      </x:c>
      <x:c r="L10" s="53" t="str">
        <x:v>DO_SPRAWDZENIA</x:v>
      </x:c>
    </x:row>
    <x:row r="11">
      <x:c r="A11" s="45" t="str">
        <x:v>35178</x:v>
      </x:c>
      <x:c r="B11" s="45" t="str">
        <x:v>001819/KOB</x:v>
      </x:c>
      <x:c r="C11" s="39" t="str">
        <x:v>Lampa uliczna solarna Solar LED Street 15W 4000K Kobi KFNSU15NB</x:v>
      </x:c>
      <x:c r="D11" s="39" t="str">
        <x:v>Oświetlenie&gt;Oświetlenie zewnętrzne&gt;Lampy uliczne</x:v>
      </x:c>
      <x:c r="E11" s="39" t="str">
        <x:v>Lampy uliczne</x:v>
      </x:c>
      <x:c r="F11" s="39" t="str">
        <x:v>Producent; Moc [W]; Strumień świetlny [lm]; Barwa światła; Stopień ochrony [IP]; Zasilanie; Dane producenta; Typ produktu</x:v>
      </x:c>
      <x:c r="G11" s="57" t="n">
        <x:v>8</x:v>
      </x:c>
      <x:c r="H11" s="39" t="str">
        <x:v>Barwa światła; Moc [W]; Stopień ochrony [IP]; Strumień świetlny [lm]; Typ produktu; Zasilanie</x:v>
      </x:c>
      <x:c r="I11" s="39" t="str">
        <x:v>Kolor; Temperatura barwowa [K]</x:v>
      </x:c>
      <x:c r="J11" s="39" t="str">
        <x:v>—</x:v>
      </x:c>
      <x:c r="K11" s="39" t="str">
        <x:v>—</x:v>
      </x:c>
      <x:c r="L11" s="53" t="str">
        <x:v>KOMPLET</x:v>
      </x:c>
    </x:row>
    <x:row r="12">
      <x:c r="A12" s="45" t="str">
        <x:v>39750</x:v>
      </x:c>
      <x:c r="B12" s="45" t="str">
        <x:v>002089/KOB</x:v>
      </x:c>
      <x:c r="C12" s="39" t="str">
        <x:v>Oprawa ruchoma do nadbudowania OH36 biała KPOH36BI</x:v>
      </x:c>
      <x:c r="D12" s="39" t="str">
        <x:v>Oświetlenie&gt;Oświetlenie wewnętrzne&gt;Oprawy natynkowe</x:v>
      </x:c>
      <x:c r="E12" s="39" t="str">
        <x:v>Oprawy natynkowe</x:v>
      </x:c>
      <x:c r="F12" s="39" t="str">
        <x:v>Producent; Kolor; Trzonek; Stopień ochrony [IP]; Liczba źródeł światła; Dane producenta; Sposób montażu</x:v>
      </x:c>
      <x:c r="G12" s="57" t="n">
        <x:v>5</x:v>
      </x:c>
      <x:c r="H12" s="39" t="str">
        <x:v>Liczba źródeł światła; Sposób montażu; Stopień ochrony [IP]; Trzonek</x:v>
      </x:c>
      <x:c r="I12" s="39" t="str">
        <x:v>Napięcie [V]</x:v>
      </x:c>
      <x:c r="J12" s="39" t="str">
        <x:v>—</x:v>
      </x:c>
      <x:c r="K12" s="39" t="str">
        <x:v>—</x:v>
      </x:c>
      <x:c r="L12" s="53" t="str">
        <x:v>KOMPLET</x:v>
      </x:c>
    </x:row>
    <x:row r="13">
      <x:c r="A13" s="45" t="str">
        <x:v>63877</x:v>
      </x:c>
      <x:c r="B13" s="45" t="str">
        <x:v>002225/KOB</x:v>
      </x:c>
      <x:c r="C13" s="39" t="str">
        <x:v>Lampa KULA OGRODOWA GARDEN BALL L 380mm KAMIEŃ IP65 KOBI KTGBL</x:v>
      </x:c>
      <x:c r="D13" s="39" t="str">
        <x:v>Oświetlenie&gt;Oświetlenie zewnętrzne&gt;Lampy ogrodowe</x:v>
      </x:c>
      <x:c r="E13" s="39" t="str">
        <x:v>Oprawy ogrodowe</x:v>
      </x:c>
      <x:c r="F13" s="39" t="str">
        <x:v>—</x:v>
      </x:c>
      <x:c r="G13" s="57" t="n">
        <x:v>4</x:v>
      </x:c>
      <x:c r="H13" s="39" t="str">
        <x:v>—</x:v>
      </x:c>
      <x:c r="I13" s="39" t="str">
        <x:v>Kolor; Napięcie [V]; Stopień ochrony [IP]; Trzonek</x:v>
      </x:c>
      <x:c r="J13" s="39" t="str">
        <x:v>—</x:v>
      </x:c>
      <x:c r="K13" s="39" t="str">
        <x:v>—</x:v>
      </x:c>
      <x:c r="L13" s="53" t="str">
        <x:v>NIE_DOTYCZY</x:v>
      </x:c>
    </x:row>
    <x:row r="14">
      <x:c r="A14" s="45" t="str">
        <x:v>63878</x:v>
      </x:c>
      <x:c r="B14" s="45" t="str">
        <x:v>002226/KOB</x:v>
      </x:c>
      <x:c r="C14" s="39" t="str">
        <x:v>Lampa Kula Ogrodowa Garden Ball M 280mm Kamień IP65 KOBI KTGBM</x:v>
      </x:c>
      <x:c r="D14" s="39" t="str">
        <x:v>Oświetlenie&gt;Oświetlenie zewnętrzne&gt;Lampy ogrodowe</x:v>
      </x:c>
      <x:c r="E14" s="39" t="str">
        <x:v>Oprawy ogrodowe</x:v>
      </x:c>
      <x:c r="F14" s="39" t="str">
        <x:v>—</x:v>
      </x:c>
      <x:c r="G14" s="57" t="n">
        <x:v>4</x:v>
      </x:c>
      <x:c r="H14" s="39" t="str">
        <x:v>—</x:v>
      </x:c>
      <x:c r="I14" s="39" t="str">
        <x:v>Kolor; Napięcie [V]; Stopień ochrony [IP]; Trzonek</x:v>
      </x:c>
      <x:c r="J14" s="39" t="str">
        <x:v>—</x:v>
      </x:c>
      <x:c r="K14" s="39" t="str">
        <x:v>—</x:v>
      </x:c>
      <x:c r="L14" s="53" t="str">
        <x:v>NIE_DOTYCZY</x:v>
      </x:c>
    </x:row>
    <x:row r="15">
      <x:c r="A15" s="45" t="str">
        <x:v>63879</x:v>
      </x:c>
      <x:c r="B15" s="45" t="str">
        <x:v>002227/KOB</x:v>
      </x:c>
      <x:c r="C15" s="39" t="str">
        <x:v>Lampa Kula Ogrodowa Garden Ball S 250mm Kamień IP65 KOBI KTGBS</x:v>
      </x:c>
      <x:c r="D15" s="39" t="str">
        <x:v>Oświetlenie&gt;Oświetlenie zewnętrzne&gt;Lampy ogrodowe</x:v>
      </x:c>
      <x:c r="E15" s="39" t="str">
        <x:v>Oprawy ogrodowe</x:v>
      </x:c>
      <x:c r="F15" s="39" t="str">
        <x:v>—</x:v>
      </x:c>
      <x:c r="G15" s="57" t="n">
        <x:v>4</x:v>
      </x:c>
      <x:c r="H15" s="39" t="str">
        <x:v>—</x:v>
      </x:c>
      <x:c r="I15" s="39" t="str">
        <x:v>Kolor; Napięcie [V]; Stopień ochrony [IP]; Trzonek</x:v>
      </x:c>
      <x:c r="J15" s="39" t="str">
        <x:v>—</x:v>
      </x:c>
      <x:c r="K15" s="39" t="str">
        <x:v>—</x:v>
      </x:c>
      <x:c r="L15" s="53" t="str">
        <x:v>NIE_DOTYCZY</x:v>
      </x:c>
    </x:row>
    <x:row r="16">
      <x:c r="A16" s="45" t="str">
        <x:v>66024</x:v>
      </x:c>
      <x:c r="B16" s="45" t="str">
        <x:v>002097/KOB</x:v>
      </x:c>
      <x:c r="C16" s="39" t="str">
        <x:v>Oprawa tuba ruchoma do nadbudowania OH36S czarna KPOH36SCZ</x:v>
      </x:c>
      <x:c r="D16" s="39" t="str">
        <x:v>Oświetlenie&gt;Oświetlenie wewnętrzne&gt;Oprawy natynkowe</x:v>
      </x:c>
      <x:c r="E16" s="39" t="str">
        <x:v>Oprawy natynkowe</x:v>
      </x:c>
      <x:c r="F16" s="39" t="str">
        <x:v>Producent; Kolor; Stopień ochrony [IP]; Dane producenta; Sposób montażu</x:v>
      </x:c>
      <x:c r="G16" s="57" t="n">
        <x:v>4</x:v>
      </x:c>
      <x:c r="H16" s="39" t="str">
        <x:v>Kolor; Sposób montażu; Stopień ochrony [IP]</x:v>
      </x:c>
      <x:c r="I16" s="39" t="str">
        <x:v>Napięcie [V]</x:v>
      </x:c>
      <x:c r="J16" s="39" t="str">
        <x:v>—</x:v>
      </x:c>
      <x:c r="K16" s="39" t="str">
        <x:v>Trzonek — zintegrowane źródło LED; Liczba źródeł światła — zintegrowany moduł LED</x:v>
      </x:c>
      <x:c r="L16" s="53" t="str">
        <x:v>KOMPLET</x:v>
      </x:c>
    </x:row>
    <x:row r="17">
      <x:c r="A17" s="45" t="str">
        <x:v>70472</x:v>
      </x:c>
      <x:c r="B17" s="45" t="str">
        <x:v>002333/KOB</x:v>
      </x:c>
      <x:c r="C17" s="39" t="str">
        <x:v>Oprawa najazdowa dogruntowa okrągła GU10 IP65 ENTRADA 2 Kobi KUEA2</x:v>
      </x:c>
      <x:c r="D17" s="39" t="str">
        <x:v>Oświetlenie&gt;Oświetlenie zewnętrzne&gt;Lampy ogrodowe&gt;Lampy najazdowe</x:v>
      </x:c>
      <x:c r="E17" s="39" t="str">
        <x:v>Oprawy najazdowe</x:v>
      </x:c>
      <x:c r="F17" s="39" t="str">
        <x:v>Producent; Kolor; Trzonek; Zasilanie; Kształt; Stopień ochrony [IP]; Dane producenta; Stopień odporności [IK]</x:v>
      </x:c>
      <x:c r="G17" s="57" t="n">
        <x:v>5</x:v>
      </x:c>
      <x:c r="H17" s="39" t="str">
        <x:v>Stopień ochrony [IP]; Trzonek; Zasilanie; Kształt</x:v>
      </x:c>
      <x:c r="I17" s="39" t="str">
        <x:v>Napięcie [V]</x:v>
      </x:c>
      <x:c r="J17" s="39" t="str">
        <x:v>Kolor; Stopień odporności [IK]</x:v>
      </x:c>
      <x:c r="K17" s="39" t="str">
        <x:v>—</x:v>
      </x:c>
      <x:c r="L17" s="53" t="str">
        <x:v>DO_SPRAWDZENIA</x:v>
      </x:c>
    </x:row>
    <x:row r="18">
      <x:c r="A18" s="45" t="str">
        <x:v>82175</x:v>
      </x:c>
      <x:c r="B18" s="45" t="str">
        <x:v>001709/KOB</x:v>
      </x:c>
      <x:c r="C18" s="39" t="str">
        <x:v>Oprawa LED HIGH BAY NINA 100W 16000lm 4000K neutralna IP65 Kobi KFNA10114</x:v>
      </x:c>
      <x:c r="D18" s="39" t="str">
        <x:v>Oświetlenie&gt;Oświetlenie przemysłowe wewnętrzne&gt;Oprawy High-bay LED</x:v>
      </x:c>
      <x:c r="E18" s="39" t="str">
        <x:v>High Bay</x:v>
      </x:c>
      <x:c r="F18" s="39" t="str">
        <x:v>Producent; Moc [W]; Barwa światła; Strumień świetlny [lm]; Stopień ochrony [IP]; Typ produktu; Dane producenta; Stopień odporności [IK]</x:v>
      </x:c>
      <x:c r="G18" s="57" t="n">
        <x:v>2</x:v>
      </x:c>
      <x:c r="H18" s="39" t="str">
        <x:v>Stopień odporności [IK]; Typ produktu</x:v>
      </x:c>
      <x:c r="I18" s="39" t="str">
        <x:v>—</x:v>
      </x:c>
      <x:c r="J18" s="39" t="str">
        <x:v>—</x:v>
      </x:c>
      <x:c r="K18" s="39" t="str">
        <x:v>—</x:v>
      </x:c>
      <x:c r="L18" s="53" t="str">
        <x:v>KOMPLET</x:v>
      </x:c>
    </x:row>
    <x:row r="19">
      <x:c r="A19" s="45" t="str">
        <x:v>82176</x:v>
      </x:c>
      <x:c r="B19" s="45" t="str">
        <x:v>001711/KOB</x:v>
      </x:c>
      <x:c r="C19" s="39" t="str">
        <x:v>Oprawa LED HIGH BAY NINA 150W 24000lm 4000K neutralna IP65 Kobi KFNA15114</x:v>
      </x:c>
      <x:c r="D19" s="39" t="str">
        <x:v>Oświetlenie&gt;Oświetlenie przemysłowe wewnętrzne&gt;Oprawy High-bay LED</x:v>
      </x:c>
      <x:c r="E19" s="39" t="str">
        <x:v>High Bay</x:v>
      </x:c>
      <x:c r="F19" s="39" t="str">
        <x:v>Producent; Moc [W]; Barwa światła; Strumień świetlny [lm]; Stopień ochrony [IP]; Typ produktu; Dane producenta; Stopień odporności [IK]</x:v>
      </x:c>
      <x:c r="G19" s="57" t="n">
        <x:v>2</x:v>
      </x:c>
      <x:c r="H19" s="39" t="str">
        <x:v>Stopień odporności [IK]; Typ produktu</x:v>
      </x:c>
      <x:c r="I19" s="39" t="str">
        <x:v>—</x:v>
      </x:c>
      <x:c r="J19" s="39" t="str">
        <x:v>—</x:v>
      </x:c>
      <x:c r="K19" s="39" t="str">
        <x:v>—</x:v>
      </x:c>
      <x:c r="L19" s="53" t="str">
        <x:v>KOMPLET</x:v>
      </x:c>
    </x:row>
    <x:row r="20">
      <x:c r="A20" s="45" t="str">
        <x:v>82177</x:v>
      </x:c>
      <x:c r="B20" s="45" t="str">
        <x:v>001713/KOB</x:v>
      </x:c>
      <x:c r="C20" s="39" t="str">
        <x:v>Oprawa LED HIGH BAY NINA 200W 32000lm 4000K neutralna IP65 Kobi KFNA20114</x:v>
      </x:c>
      <x:c r="D20" s="39" t="str">
        <x:v>Oświetlenie&gt;Oświetlenie przemysłowe wewnętrzne&gt;Oprawy High-bay LED</x:v>
      </x:c>
      <x:c r="E20" s="39" t="str">
        <x:v>High Bay</x:v>
      </x:c>
      <x:c r="F20" s="39" t="str">
        <x:v>Producent; Moc [W]; Barwa światła; Strumień świetlny [lm]; Stopień ochrony [IP]; Typ produktu; Dane producenta; Stopień odporności [IK]</x:v>
      </x:c>
      <x:c r="G20" s="57" t="n">
        <x:v>5</x:v>
      </x:c>
      <x:c r="H20" s="39" t="str">
        <x:v>Stopień odporności [IK]; Typ produktu</x:v>
      </x:c>
      <x:c r="I20" s="39" t="str">
        <x:v>Kąt świecenia [°]; Kolor; Napięcie [V]</x:v>
      </x:c>
      <x:c r="J20" s="39" t="str">
        <x:v>—</x:v>
      </x:c>
      <x:c r="K20" s="39" t="str">
        <x:v>—</x:v>
      </x:c>
      <x:c r="L20" s="53" t="str">
        <x:v>KOMPLET</x:v>
      </x:c>
    </x:row>
    <x:row r="21">
      <x:c r="A21" s="45" t="str">
        <x:v>83856</x:v>
      </x:c>
      <x:c r="B21" s="45" t="str">
        <x:v>001635/KOB</x:v>
      </x:c>
      <x:c r="C21" s="39" t="str">
        <x:v>Naświetlacz SOLARNY LED NCS 10W 6500K zimny LED2B Kobi KFLNCS10ZB</x:v>
      </x:c>
      <x:c r="D21" s="39" t="str">
        <x:v>Oświetlenie&gt;Oświetlenie zewnętrzne&gt;Lampy ogrodowe&gt;Lampy ogrodowe solarne|Oświetlenie&gt;Oświetlenie zewnętrzne&gt;Naświetlacze LED</x:v>
      </x:c>
      <x:c r="E21" s="39" t="str">
        <x:v>Naświetlacze LED</x:v>
      </x:c>
      <x:c r="F21" s="39" t="str">
        <x:v>Producent; Moc [W]; Strumień świetlny [lm]; Barwa światła; Stopień ochrony [IP]; Czujnik ruchu; Zasilanie; Kolor; Dane producenta; Typ produktu</x:v>
      </x:c>
      <x:c r="G21" s="57" t="n">
        <x:v>4</x:v>
      </x:c>
      <x:c r="H21" s="39" t="str">
        <x:v>Typ produktu; Zasilanie</x:v>
      </x:c>
      <x:c r="I21" s="39" t="str">
        <x:v>Kąt świecenia [°]; Napięcie [V]</x:v>
      </x:c>
      <x:c r="J21" s="39" t="str">
        <x:v>—</x:v>
      </x:c>
      <x:c r="K21" s="39" t="str">
        <x:v>—</x:v>
      </x:c>
      <x:c r="L21" s="53" t="str">
        <x:v>KOMPLET</x:v>
      </x:c>
    </x:row>
    <x:row r="22">
      <x:c r="A22" s="45" t="str">
        <x:v>83857</x:v>
      </x:c>
      <x:c r="B22" s="45" t="str">
        <x:v>001636/KOB</x:v>
      </x:c>
      <x:c r="C22" s="39" t="str">
        <x:v>Naświetlacz SOLARNY LED NCS 20W 6500K zimny LED2B Kobi KFLNCS20ZB</x:v>
      </x:c>
      <x:c r="D22" s="39" t="str">
        <x:v>Oświetlenie&gt;Oświetlenie zewnętrzne&gt;Lampy ogrodowe&gt;Lampy ogrodowe solarne|Oświetlenie&gt;Oświetlenie zewnętrzne&gt;Naświetlacze LED</x:v>
      </x:c>
      <x:c r="E22" s="39" t="str">
        <x:v>Naświetlacze LED</x:v>
      </x:c>
      <x:c r="F22" s="39" t="str">
        <x:v>Producent; Moc [W]; Strumień świetlny [lm]; Barwa światła; Stopień ochrony [IP]; Czujnik ruchu; Zasilanie; Kolor; Dane producenta; Typ produktu</x:v>
      </x:c>
      <x:c r="G22" s="57" t="n">
        <x:v>4</x:v>
      </x:c>
      <x:c r="H22" s="39" t="str">
        <x:v>Typ produktu; Zasilanie</x:v>
      </x:c>
      <x:c r="I22" s="39" t="str">
        <x:v>Kąt świecenia [°]; Napięcie [V]</x:v>
      </x:c>
      <x:c r="J22" s="39" t="str">
        <x:v>—</x:v>
      </x:c>
      <x:c r="K22" s="39" t="str">
        <x:v>—</x:v>
      </x:c>
      <x:c r="L22" s="53" t="str">
        <x:v>KOMPLET</x:v>
      </x:c>
    </x:row>
    <x:row r="23">
      <x:c r="A23" s="45" t="str">
        <x:v>86192</x:v>
      </x:c>
      <x:c r="B23" s="45" t="str">
        <x:v>002095/KOB</x:v>
      </x:c>
      <x:c r="C23" s="39" t="str">
        <x:v>Oprawa tuba ruchoma do nadbudowania OH36S biała KPOH36SBI</x:v>
      </x:c>
      <x:c r="D23" s="39" t="str">
        <x:v>Oświetlenie&gt;Oświetlenie wewnętrzne&gt;Oprawy natynkowe</x:v>
      </x:c>
      <x:c r="E23" s="39" t="str">
        <x:v>Oprawy natynkowe</x:v>
      </x:c>
      <x:c r="F23" s="39" t="str">
        <x:v>Producent; Kolor; Stopień ochrony [IP]; Dane producenta; Sposób montażu</x:v>
      </x:c>
      <x:c r="G23" s="57" t="n">
        <x:v>4</x:v>
      </x:c>
      <x:c r="H23" s="39" t="str">
        <x:v>Kolor; Sposób montażu; Stopień ochrony [IP]</x:v>
      </x:c>
      <x:c r="I23" s="39" t="str">
        <x:v>Napięcie [V]</x:v>
      </x:c>
      <x:c r="J23" s="39" t="str">
        <x:v>—</x:v>
      </x:c>
      <x:c r="K23" s="39" t="str">
        <x:v>Trzonek — zintegrowane źródło LED; Liczba źródeł światła — zintegrowany moduł LED</x:v>
      </x:c>
      <x:c r="L23" s="53" t="str">
        <x:v>KOMPLET</x:v>
      </x:c>
    </x:row>
    <x:row r="24">
      <x:c r="A24" s="45" t="str">
        <x:v>99579</x:v>
      </x:c>
      <x:c r="B24" s="45" t="str">
        <x:v>002223/KOB</x:v>
      </x:c>
      <x:c r="C24" s="39" t="str">
        <x:v>Oprawa ogrodowa kinkiet elewacyjny ENTERA 10W 4000K IP54 KTEACZ</x:v>
      </x:c>
      <x:c r="D24" s="39" t="str">
        <x:v>Oświetlenie&gt;Oświetlenie zewnętrzne&gt;Lampy ogrodowe&gt;Kinkiety zewnętrzne</x:v>
      </x:c>
      <x:c r="E24" s="39" t="str">
        <x:v>Lampy elewacyjne, kinkiety zewnętrzne</x:v>
      </x:c>
      <x:c r="F24" s="39" t="str">
        <x:v>Producent; Kolor; Liczba źródeł światła; Kierunek świecenia; Stopień ochrony [IP]; Czujnik ruchu; Źródło światła; Dane producenta</x:v>
      </x:c>
      <x:c r="G24" s="57" t="n">
        <x:v>5</x:v>
      </x:c>
      <x:c r="H24" s="39" t="str">
        <x:v>Czujnik ruchu; Liczba źródeł światła; Stopień ochrony [IP]; Źródło światła</x:v>
      </x:c>
      <x:c r="I24" s="39" t="str">
        <x:v>Moc [W]</x:v>
      </x:c>
      <x:c r="J24" s="39" t="str">
        <x:v>Kolor; Kierunek świecenia</x:v>
      </x:c>
      <x:c r="K24" s="39" t="str">
        <x:v>Trzonek — zintegrowane źródło LED</x:v>
      </x:c>
      <x:c r="L24" s="53" t="str">
        <x:v>DO_SPRAWDZENIA</x:v>
      </x:c>
    </x:row>
    <x:row r="25">
      <x:c r="A25" s="45" t="str">
        <x:v>99580</x:v>
      </x:c>
      <x:c r="B25" s="45" t="str">
        <x:v>002224/KOB</x:v>
      </x:c>
      <x:c r="C25" s="39" t="str">
        <x:v>Oprawa ogrodowa kinkiet elewacyjny ENTERA P 10W 4000K IP54 KOBI KTEAPCZ</x:v>
      </x:c>
      <x:c r="D25" s="39" t="str">
        <x:v>Oświetlenie&gt;Oświetlenie zewnętrzne&gt;Lampy ogrodowe&gt;Kinkiety zewnętrzne</x:v>
      </x:c>
      <x:c r="E25" s="39" t="str">
        <x:v>Lampy elewacyjne, kinkiety zewnętrzne</x:v>
      </x:c>
      <x:c r="F25" s="39" t="str">
        <x:v>Producent; Kolor; Liczba źródeł światła; Kierunek świecenia; Stopień ochrony [IP]; Czujnik ruchu; Źródło światła; Dane producenta</x:v>
      </x:c>
      <x:c r="G25" s="57" t="n">
        <x:v>5</x:v>
      </x:c>
      <x:c r="H25" s="39" t="str">
        <x:v>Czujnik ruchu; Liczba źródeł światła; Stopień ochrony [IP]; Źródło światła</x:v>
      </x:c>
      <x:c r="I25" s="39" t="str">
        <x:v>Moc [W]</x:v>
      </x:c>
      <x:c r="J25" s="39" t="str">
        <x:v>Kolor; Kierunek świecenia</x:v>
      </x:c>
      <x:c r="K25" s="39" t="str">
        <x:v>Trzonek — zintegrowane źródło LED</x:v>
      </x:c>
      <x:c r="L25" s="53" t="str">
        <x:v>DO_SPRAWDZENIA</x:v>
      </x:c>
    </x:row>
    <x:row r="26">
      <x:c r="A26" s="45" t="str">
        <x:v>100654</x:v>
      </x:c>
      <x:c r="B26" s="45" t="str">
        <x:v>001881/KOB</x:v>
      </x:c>
      <x:c r="C26" s="39" t="str">
        <x:v>Oprawa uliczna LED VESPA PRO 40W 4000K neutralna 5600 lm KOBI KFVP40NBAS</x:v>
      </x:c>
      <x:c r="D26" s="39" t="str">
        <x:v>Oświetlenie&gt;Oświetlenie zewnętrzne&gt;Lampy uliczne</x:v>
      </x:c>
      <x:c r="E26" s="39" t="str">
        <x:v>Lampy uliczne</x:v>
      </x:c>
      <x:c r="F26" s="39" t="str">
        <x:v>Producent; Moc [W]; Strumień świetlny [lm]; Barwa światła; Stopień ochrony [IP]; Zasilanie; Dane producenta; Typ produktu</x:v>
      </x:c>
      <x:c r="G26" s="57" t="n">
        <x:v>3</x:v>
      </x:c>
      <x:c r="H26" s="39" t="str">
        <x:v>Typ produktu; Zasilanie</x:v>
      </x:c>
      <x:c r="I26" s="39" t="str">
        <x:v>Napięcie [V]</x:v>
      </x:c>
      <x:c r="J26" s="39" t="str">
        <x:v>—</x:v>
      </x:c>
      <x:c r="K26" s="39" t="str">
        <x:v>—</x:v>
      </x:c>
      <x:c r="L26" s="53" t="str">
        <x:v>KOMPLET</x:v>
      </x:c>
    </x:row>
    <x:row r="27">
      <x:c r="A27" s="45" t="str">
        <x:v>100655</x:v>
      </x:c>
      <x:c r="B27" s="45" t="str">
        <x:v>001882/KOB</x:v>
      </x:c>
      <x:c r="C27" s="39" t="str">
        <x:v>Oprawa uliczna LED VESPA PRO 60W 4000K neutralna 8400lm KOBI KFVP60NBAS</x:v>
      </x:c>
      <x:c r="D27" s="39" t="str">
        <x:v>Oświetlenie&gt;Oświetlenie zewnętrzne&gt;Lampy uliczne</x:v>
      </x:c>
      <x:c r="E27" s="39" t="str">
        <x:v>Lampy uliczne</x:v>
      </x:c>
      <x:c r="F27" s="39" t="str">
        <x:v>Producent; Moc [W]; Strumień świetlny [lm]; Barwa światła; Stopień ochrony [IP]; Zasilanie; Dane producenta; Typ produktu</x:v>
      </x:c>
      <x:c r="G27" s="57" t="n">
        <x:v>3</x:v>
      </x:c>
      <x:c r="H27" s="39" t="str">
        <x:v>Typ produktu; Zasilanie</x:v>
      </x:c>
      <x:c r="I27" s="39" t="str">
        <x:v>Napięcie [V]</x:v>
      </x:c>
      <x:c r="J27" s="39" t="str">
        <x:v>—</x:v>
      </x:c>
      <x:c r="K27" s="39" t="str">
        <x:v>—</x:v>
      </x:c>
      <x:c r="L27" s="53" t="str">
        <x:v>KOMPLET</x:v>
      </x:c>
    </x:row>
    <x:row r="28">
      <x:c r="A28" s="45" t="str">
        <x:v>100656</x:v>
      </x:c>
      <x:c r="B28" s="45" t="str">
        <x:v>001876/KOB</x:v>
      </x:c>
      <x:c r="C28" s="39" t="str">
        <x:v>Oprawa uliczna LED VESPA PRO 100W 4000K neutralna 14000lm KOBI KFVP100NBAS</x:v>
      </x:c>
      <x:c r="D28" s="39" t="str">
        <x:v>Oświetlenie&gt;Oświetlenie zewnętrzne&gt;Lampy uliczne</x:v>
      </x:c>
      <x:c r="E28" s="39" t="str">
        <x:v>Lampy uliczne</x:v>
      </x:c>
      <x:c r="F28" s="39" t="str">
        <x:v>Producent; Moc [W]; Strumień świetlny [lm]; Barwa światła; Stopień ochrony [IP]; Zasilanie; Dane producenta; Typ produktu</x:v>
      </x:c>
      <x:c r="G28" s="57" t="n">
        <x:v>3</x:v>
      </x:c>
      <x:c r="H28" s="39" t="str">
        <x:v>Typ produktu; Zasilanie</x:v>
      </x:c>
      <x:c r="I28" s="39" t="str">
        <x:v>Napięcie [V]</x:v>
      </x:c>
      <x:c r="J28" s="39" t="str">
        <x:v>—</x:v>
      </x:c>
      <x:c r="K28" s="39" t="str">
        <x:v>—</x:v>
      </x:c>
      <x:c r="L28" s="53" t="str">
        <x:v>KOMPLET</x:v>
      </x:c>
    </x:row>
    <x:row r="29">
      <x:c r="A29" s="45" t="str">
        <x:v>100657</x:v>
      </x:c>
      <x:c r="B29" s="45" t="str">
        <x:v>001877/KOB</x:v>
      </x:c>
      <x:c r="C29" s="39" t="str">
        <x:v>Oprawa uliczna LED VESPA PRO 150 W 4000K neutralna 20250lm KOBI KFVP150NBAS</x:v>
      </x:c>
      <x:c r="D29" s="39" t="str">
        <x:v>Oświetlenie&gt;Oświetlenie zewnętrzne&gt;Lampy uliczne</x:v>
      </x:c>
      <x:c r="E29" s="39" t="str">
        <x:v>Lampy uliczne</x:v>
      </x:c>
      <x:c r="F29" s="39" t="str">
        <x:v>Producent; Moc [W]; Strumień świetlny [lm]; Barwa światła; Stopień ochrony [IP]; Zasilanie; Dane producenta; Typ produktu</x:v>
      </x:c>
      <x:c r="G29" s="57" t="n">
        <x:v>3</x:v>
      </x:c>
      <x:c r="H29" s="39" t="str">
        <x:v>Typ produktu; Zasilanie</x:v>
      </x:c>
      <x:c r="I29" s="39" t="str">
        <x:v>Napięcie [V]</x:v>
      </x:c>
      <x:c r="J29" s="39" t="str">
        <x:v>—</x:v>
      </x:c>
      <x:c r="K29" s="39" t="str">
        <x:v>—</x:v>
      </x:c>
      <x:c r="L29" s="53" t="str">
        <x:v>KOMPLET</x:v>
      </x:c>
    </x:row>
    <x:row r="30">
      <x:c r="A30" s="45" t="str">
        <x:v>102385</x:v>
      </x:c>
      <x:c r="B30" s="45" t="str">
        <x:v>001809/KOB</x:v>
      </x:c>
      <x:c r="C30" s="39" t="str">
        <x:v>Naświetlacz LED z czujnikiem ruchu i panelem solarnym 30W 4000K b. neutralna 4800lm IP65 Kobi KFNSC30NB KFNSCS30NB</x:v>
      </x:c>
      <x:c r="D30" s="39" t="str">
        <x:v>Oświetlenie&gt;Oświetlenie zewnętrzne&gt;Naświetlacze LED</x:v>
      </x:c>
      <x:c r="E30" s="39" t="str">
        <x:v>Naświetlacze LED</x:v>
      </x:c>
      <x:c r="F30" s="39" t="str">
        <x:v>Producent; Moc [W]; Strumień świetlny [lm]; Barwa światła; Stopień ochrony [IP]; Czujnik ruchu; Zasilanie; Kolor; Dane producenta; Typ produktu</x:v>
      </x:c>
      <x:c r="G30" s="57" t="n">
        <x:v>2</x:v>
      </x:c>
      <x:c r="H30" s="39" t="str">
        <x:v>Typ produktu; Zasilanie</x:v>
      </x:c>
      <x:c r="I30" s="39" t="str">
        <x:v>—</x:v>
      </x:c>
      <x:c r="J30" s="39" t="str">
        <x:v>Kolor</x:v>
      </x:c>
      <x:c r="K30" s="39" t="str">
        <x:v>—</x:v>
      </x:c>
      <x:c r="L30" s="53" t="str">
        <x:v>DO_SPRAWDZENIA</x:v>
      </x:c>
    </x:row>
    <x:row r="31">
      <x:c r="A31" s="45" t="str">
        <x:v>114149</x:v>
      </x:c>
      <x:c r="B31" s="45" t="str">
        <x:v>001814/KOB</x:v>
      </x:c>
      <x:c r="C31" s="39" t="str">
        <x:v>Naświetlacz Solarny LED MHCS 10W PREMIUM barwa neutralna KOBI KFNSR10NB</x:v>
      </x:c>
      <x:c r="D31" s="39" t="str">
        <x:v>Oświetlenie&gt;Oświetlenie zewnętrzne&gt;Naświetlacze LED</x:v>
      </x:c>
      <x:c r="E31" s="39" t="str">
        <x:v>Naświetlacze LED</x:v>
      </x:c>
      <x:c r="F31" s="39" t="str">
        <x:v>Producent; Moc [W]; Strumień świetlny [lm]; Barwa światła; Stopień ochrony [IP]; Czujnik ruchu; Zasilanie; Kolor; Dane producenta; Typ produktu</x:v>
      </x:c>
      <x:c r="G31" s="57" t="n">
        <x:v>5</x:v>
      </x:c>
      <x:c r="H31" s="39" t="str">
        <x:v>Kolor; Typ produktu; Zasilanie</x:v>
      </x:c>
      <x:c r="I31" s="39" t="str">
        <x:v>Kąt świecenia [°]; Napięcie [V]</x:v>
      </x:c>
      <x:c r="J31" s="39" t="str">
        <x:v>—</x:v>
      </x:c>
      <x:c r="K31" s="39" t="str">
        <x:v>—</x:v>
      </x:c>
      <x:c r="L31" s="53" t="str">
        <x:v>KOMPLET</x:v>
      </x:c>
    </x:row>
    <x:row r="32">
      <x:c r="A32" s="45" t="str">
        <x:v>125826</x:v>
      </x:c>
      <x:c r="B32" s="45" t="str">
        <x:v>002243/KOB</x:v>
      </x:c>
      <x:c r="C32" s="39" t="str">
        <x:v>Oprawa najazdowa kwadratowa GU10 IP67 INGRESS SQUARE CHROM KTLIOSE</x:v>
      </x:c>
      <x:c r="D32" s="39" t="str">
        <x:v>Oświetlenie&gt;Oświetlenie zewnętrzne&gt;Lampy ogrodowe&gt;Lampy najazdowe</x:v>
      </x:c>
      <x:c r="E32" s="39" t="str">
        <x:v>Oprawy najazdowe</x:v>
      </x:c>
      <x:c r="F32" s="39" t="str">
        <x:v>Producent; Kolor; Trzonek; Zasilanie; Kształt; Stopień ochrony [IP]; Dane producenta; Stopień odporności [IK]</x:v>
      </x:c>
      <x:c r="G32" s="57" t="n">
        <x:v>7</x:v>
      </x:c>
      <x:c r="H32" s="39" t="str">
        <x:v>Kolor; Stopień ochrony [IP]; Stopień odporności [IK]; Trzonek; Zasilanie; Kształt</x:v>
      </x:c>
      <x:c r="I32" s="39" t="str">
        <x:v>Napięcie [V]</x:v>
      </x:c>
      <x:c r="J32" s="39" t="str">
        <x:v>—</x:v>
      </x:c>
      <x:c r="K32" s="39" t="str">
        <x:v>—</x:v>
      </x:c>
      <x:c r="L32" s="53" t="str">
        <x:v>KOMPLET</x:v>
      </x:c>
    </x:row>
    <x:row r="33">
      <x:c r="A33" s="45" t="str">
        <x:v>134785</x:v>
      </x:c>
      <x:c r="B33" s="45" t="str">
        <x:v>001623/KOB</x:v>
      </x:c>
      <x:c r="C33" s="39" t="str">
        <x:v>Oprawa belka LED 40W 4000K 4800lm 120cm KOLINE K1 professional line Kobi KFKE40WNBCZ</x:v>
      </x:c>
      <x:c r="D33" s="39" t="str">
        <x:v>Oświetlenie&gt;Oświetlenie przemysłowe wewnętrzne&gt;Oprawy liniowe, belki LED</x:v>
      </x:c>
      <x:c r="E33" s="39" t="str">
        <x:v>Oprawy liniowe, belki</x:v>
      </x:c>
      <x:c r="F33" s="39" t="str">
        <x:v>Producent; Moc [W]; Strumień świetlny [lm]; Barwa światła; Stopień ochrony [IP]; Długość; Typ produktu; Dane producenta; Kolor; Zasilanie; Źródło światła</x:v>
      </x:c>
      <x:c r="G33" s="57" t="n">
        <x:v>5</x:v>
      </x:c>
      <x:c r="H33" s="39" t="str">
        <x:v>Długość; Typ produktu; Zasilanie; Źródło światła</x:v>
      </x:c>
      <x:c r="I33" s="39" t="str">
        <x:v>Napięcie [V]</x:v>
      </x:c>
      <x:c r="J33" s="39" t="str">
        <x:v>—</x:v>
      </x:c>
      <x:c r="K33" s="39" t="str">
        <x:v>—</x:v>
      </x:c>
      <x:c r="L33" s="53" t="str">
        <x:v>KOMPLET</x:v>
      </x:c>
    </x:row>
    <x:row r="34">
      <x:c r="A34" s="45" t="str">
        <x:v>134796</x:v>
      </x:c>
      <x:c r="B34" s="45" t="str">
        <x:v>001620/KOB</x:v>
      </x:c>
      <x:c r="C34" s="39" t="str">
        <x:v>Oprawa belka LED 40W 4000K 5200lm 120cm KOLINE K1 biała professional line Kobi KFKE40WNBBI</x:v>
      </x:c>
      <x:c r="D34" s="39" t="str">
        <x:v>Oświetlenie&gt;Oświetlenie przemysłowe wewnętrzne&gt;Oprawy liniowe, belki LED</x:v>
      </x:c>
      <x:c r="E34" s="39" t="str">
        <x:v>Oprawy liniowe, belki</x:v>
      </x:c>
      <x:c r="F34" s="39" t="str">
        <x:v>Producent; Moc [W]; Strumień świetlny [lm]; Barwa światła; Stopień ochrony [IP]; Długość; Typ produktu; Dane producenta; Kolor; Zasilanie; Źródło światła</x:v>
      </x:c>
      <x:c r="G34" s="57" t="n">
        <x:v>5</x:v>
      </x:c>
      <x:c r="H34" s="39" t="str">
        <x:v>Długość; Typ produktu; Zasilanie; Źródło światła</x:v>
      </x:c>
      <x:c r="I34" s="39" t="str">
        <x:v>Napięcie [V]</x:v>
      </x:c>
      <x:c r="J34" s="39" t="str">
        <x:v>—</x:v>
      </x:c>
      <x:c r="K34" s="39" t="str">
        <x:v>—</x:v>
      </x:c>
      <x:c r="L34" s="53" t="str">
        <x:v>KOMPLET</x:v>
      </x:c>
    </x:row>
    <x:row r="35">
      <x:c r="A35" s="45" t="str">
        <x:v>134805</x:v>
      </x:c>
      <x:c r="B35" s="45" t="str">
        <x:v>001840/KOB</x:v>
      </x:c>
      <x:c r="C35" s="39" t="str">
        <x:v>Oprawa przemysłowa HIGH BAY LED 100W 4000K 14000lm RIO PRO Kobi KFRP100NB</x:v>
      </x:c>
      <x:c r="D35" s="39" t="str">
        <x:v>Oświetlenie&gt;Oświetlenie przemysłowe wewnętrzne&gt;Oprawy High-bay LED|Wyrzedaż</x:v>
      </x:c>
      <x:c r="E35" s="39" t="str">
        <x:v>High Bay</x:v>
      </x:c>
      <x:c r="F35" s="39" t="str">
        <x:v>Producent; Moc [W]; Barwa światła; Strumień świetlny [lm]; Stopień ochrony [IP]; Typ produktu; Dane producenta; Stopień odporności [IK]</x:v>
      </x:c>
      <x:c r="G35" s="57" t="n">
        <x:v>6</x:v>
      </x:c>
      <x:c r="H35" s="39" t="str">
        <x:v>Stopień ochrony [IP]; Stopień odporności [IK]; Typ produktu</x:v>
      </x:c>
      <x:c r="I35" s="39" t="str">
        <x:v>Kąt świecenia [°]; Kolor; Napięcie [V]</x:v>
      </x:c>
      <x:c r="J35" s="39" t="str">
        <x:v>—</x:v>
      </x:c>
      <x:c r="K35" s="39" t="str">
        <x:v>—</x:v>
      </x:c>
      <x:c r="L35" s="53" t="str">
        <x:v>KOMPLET</x:v>
      </x:c>
    </x:row>
    <x:row r="36">
      <x:c r="A36" s="45" t="str">
        <x:v>134836</x:v>
      </x:c>
      <x:c r="B36" s="45" t="str">
        <x:v>001841/KOB</x:v>
      </x:c>
      <x:c r="C36" s="39" t="str">
        <x:v>Oprawa przemysłowa LED HIGH BAY 150W 4000K 21000lm RIO PRO Kobi KFRP150NB</x:v>
      </x:c>
      <x:c r="D36" s="39" t="str">
        <x:v>Oświetlenie&gt;Oświetlenie przemysłowe wewnętrzne&gt;Oprawy High-bay LED|Wyprzedaż</x:v>
      </x:c>
      <x:c r="E36" s="39" t="str">
        <x:v>High Bay</x:v>
      </x:c>
      <x:c r="F36" s="39" t="str">
        <x:v>Producent; Moc [W]; Barwa światła; Strumień świetlny [lm]; Stopień ochrony [IP]; Typ produktu; Dane producenta; Stopień odporności [IK]</x:v>
      </x:c>
      <x:c r="G36" s="57" t="n">
        <x:v>6</x:v>
      </x:c>
      <x:c r="H36" s="39" t="str">
        <x:v>Stopień ochrony [IP]; Stopień odporności [IK]; Typ produktu</x:v>
      </x:c>
      <x:c r="I36" s="39" t="str">
        <x:v>Kąt świecenia [°]; Kolor; Napięcie [V]</x:v>
      </x:c>
      <x:c r="J36" s="39" t="str">
        <x:v>—</x:v>
      </x:c>
      <x:c r="K36" s="39" t="str">
        <x:v>—</x:v>
      </x:c>
      <x:c r="L36" s="53" t="str">
        <x:v>KOMPLET</x:v>
      </x:c>
    </x:row>
    <x:row r="37">
      <x:c r="A37" s="45" t="str">
        <x:v>134854</x:v>
      </x:c>
      <x:c r="B37" s="45" t="str">
        <x:v>001843/KOB</x:v>
      </x:c>
      <x:c r="C37" s="39" t="str">
        <x:v>Oprawa przemysłowa LED HIGH BAY 200W 4000K 28000lm RIO PRO Kobi KFRP200NB</x:v>
      </x:c>
      <x:c r="D37" s="39" t="str">
        <x:v>Oświetlenie&gt;Oświetlenie przemysłowe wewnętrzne&gt;Oprawy High-bay LED</x:v>
      </x:c>
      <x:c r="E37" s="39" t="str">
        <x:v>High Bay</x:v>
      </x:c>
      <x:c r="F37" s="39" t="str">
        <x:v>Producent; Moc [W]; Barwa światła; Strumień świetlny [lm]; Stopień ochrony [IP]; Typ produktu; Dane producenta; Stopień odporności [IK]</x:v>
      </x:c>
      <x:c r="G37" s="57" t="n">
        <x:v>6</x:v>
      </x:c>
      <x:c r="H37" s="39" t="str">
        <x:v>Stopień ochrony [IP]; Stopień odporności [IK]; Typ produktu</x:v>
      </x:c>
      <x:c r="I37" s="39" t="str">
        <x:v>Kąt świecenia [°]; Kolor; Napięcie [V]</x:v>
      </x:c>
      <x:c r="J37" s="39" t="str">
        <x:v>—</x:v>
      </x:c>
      <x:c r="K37" s="39" t="str">
        <x:v>—</x:v>
      </x:c>
      <x:c r="L37" s="53" t="str">
        <x:v>KOMPLET</x:v>
      </x:c>
    </x:row>
    <x:row r="38">
      <x:c r="A38" s="45" t="str">
        <x:v>142490</x:v>
      </x:c>
      <x:c r="B38" s="45" t="str">
        <x:v>001431/KOB</x:v>
      </x:c>
      <x:c r="C38" s="39" t="str">
        <x:v>Latarka LED mini X-MPR MICRO IP44 370+280lm 500mAh 7 trybów Kobi 001431</x:v>
      </x:c>
      <x:c r="D38" s="39" t="str">
        <x:v>Oświetlenie&gt;Latarki</x:v>
      </x:c>
      <x:c r="E38" s="39" t="str">
        <x:v>Latarki</x:v>
      </x:c>
      <x:c r="F38" s="39" t="str">
        <x:v>Producent; Typ produktu; Zasilanie; Strumień świetlny [lm]; Czas świecenia; Dane producenta; Stopień ochrony [IP]; Kolor</x:v>
      </x:c>
      <x:c r="G38" s="57" t="n">
        <x:v>5</x:v>
      </x:c>
      <x:c r="H38" s="39" t="str">
        <x:v>Stopień ochrony [IP]; Strumień świetlny [lm]; Typ produktu; Czas świecenia</x:v>
      </x:c>
      <x:c r="I38" s="39" t="str">
        <x:v>Kąt świecenia [°]</x:v>
      </x:c>
      <x:c r="J38" s="39" t="str">
        <x:v>Kolor</x:v>
      </x:c>
      <x:c r="K38" s="39" t="str">
        <x:v>—</x:v>
      </x:c>
      <x:c r="L38" s="53" t="str">
        <x:v>DO_SPRAWDZENIA</x:v>
      </x:c>
    </x:row>
    <x:row r="39">
      <x:c r="A39" s="45" t="str">
        <x:v>142500</x:v>
      </x:c>
      <x:c r="B39" s="45" t="str">
        <x:v>001435/KOB</x:v>
      </x:c>
      <x:c r="C39" s="39" t="str">
        <x:v>Girlanda świetlna dekoracyjna 7,74m 10 kul 2500K LED VENEZIA Kobi 001435</x:v>
      </x:c>
      <x:c r="D39" s="39" t="str">
        <x:v>Oświetlenie&gt;Oświetlenie zewnętrzne&gt;Girlandy ogrodowe</x:v>
      </x:c>
      <x:c r="E39" s="39" t="str">
        <x:v>Girlandy</x:v>
      </x:c>
      <x:c r="F39" s="39" t="str">
        <x:v>Producent; Kolor; Zasilanie; Liczba źródeł światła; Długość; Stopień ochrony [IP]; Dane producenta; Typ produktu</x:v>
      </x:c>
      <x:c r="G39" s="57" t="n">
        <x:v>8</x:v>
      </x:c>
      <x:c r="H39" s="39" t="str">
        <x:v>Długość; Kolor; Liczba źródeł światła; Typ produktu; Zasilanie</x:v>
      </x:c>
      <x:c r="I39" s="39" t="str">
        <x:v>Moc [W]; Napięcie [V]; Strumień świetlny [lm]</x:v>
      </x:c>
      <x:c r="J39" s="39" t="str">
        <x:v>—</x:v>
      </x:c>
      <x:c r="K39" s="39" t="str">
        <x:v>Trzonek — zintegrowane źródło LED</x:v>
      </x:c>
      <x:c r="L39" s="53" t="str">
        <x:v>KOMPLET</x:v>
      </x:c>
    </x:row>
    <x:row r="40">
      <x:c r="A40" s="45" t="str">
        <x:v>142506</x:v>
      </x:c>
      <x:c r="B40" s="45" t="str">
        <x:v>003671/KOB</x:v>
      </x:c>
      <x:c r="C40" s="39" t="str">
        <x:v>Oprawa hermetyczna LED CORTEZ 18W 2160lm 4000K 62,5cm IP65 Kobi 003671</x:v>
      </x:c>
      <x:c r="D40" s="39" t="str">
        <x:v>Oświetlenie&gt;Oświetlenie przemysłowe wewnętrzne&gt;Lampy hermetyczne</x:v>
      </x:c>
      <x:c r="E40" s="39" t="str">
        <x:v>Oprawy hermetyczne</x:v>
      </x:c>
      <x:c r="F40" s="39" t="str">
        <x:v>Producent; Moc [W]; Strumień świetlny [lm]; Barwa światła; Stopień ochrony [IP]; Długość; Typ produktu; Dane producenta; Źródło światła</x:v>
      </x:c>
      <x:c r="G40" s="57" t="n">
        <x:v>5</x:v>
      </x:c>
      <x:c r="H40" s="39" t="str">
        <x:v>Typ produktu; Źródło światła</x:v>
      </x:c>
      <x:c r="I40" s="39" t="str">
        <x:v>Kąt świecenia [°]; Kolor; Napięcie [V]</x:v>
      </x:c>
      <x:c r="J40" s="39" t="str">
        <x:v>—</x:v>
      </x:c>
      <x:c r="K40" s="39" t="str">
        <x:v>—</x:v>
      </x:c>
      <x:c r="L40" s="53" t="str">
        <x:v>KOMPLET</x:v>
      </x:c>
    </x:row>
    <x:row r="41">
      <x:c r="A41" s="45" t="str">
        <x:v>142510</x:v>
      </x:c>
      <x:c r="B41" s="45" t="str">
        <x:v>003672/KOB</x:v>
      </x:c>
      <x:c r="C41" s="39" t="str">
        <x:v>Oprawa hermetyczna LED CORTEZ 36W 4320lm 4000K 122,5cm IP65 Kobi 003672</x:v>
      </x:c>
      <x:c r="D41" s="39" t="str">
        <x:v>Oświetlenie&gt;Oświetlenie przemysłowe wewnętrzne&gt;Lampy hermetyczne</x:v>
      </x:c>
      <x:c r="E41" s="39" t="str">
        <x:v>Oprawy hermetyczne</x:v>
      </x:c>
      <x:c r="F41" s="39" t="str">
        <x:v>Producent; Moc [W]; Strumień świetlny [lm]; Barwa światła; Stopień ochrony [IP]; Długość; Typ produktu; Dane producenta; Źródło światła</x:v>
      </x:c>
      <x:c r="G41" s="57" t="n">
        <x:v>6</x:v>
      </x:c>
      <x:c r="H41" s="39" t="str">
        <x:v>Długość; Typ produktu; Źródło światła</x:v>
      </x:c>
      <x:c r="I41" s="39" t="str">
        <x:v>Kąt świecenia [°]; Kolor; Napięcie [V]</x:v>
      </x:c>
      <x:c r="J41" s="39" t="str">
        <x:v>—</x:v>
      </x:c>
      <x:c r="K41" s="39" t="str">
        <x:v>—</x:v>
      </x:c>
      <x:c r="L41" s="53" t="str">
        <x:v>KOMPLET</x:v>
      </x:c>
    </x:row>
    <x:row r="42">
      <x:c r="A42" s="45" t="str">
        <x:v>142515</x:v>
      </x:c>
      <x:c r="B42" s="45" t="str">
        <x:v>003673/KOB</x:v>
      </x:c>
      <x:c r="C42" s="39" t="str">
        <x:v>Oprawa hermetyczna LED CORTEZ 48W 5760lm 4000K 152,5cm IP65 Kobi 003673</x:v>
      </x:c>
      <x:c r="D42" s="39" t="str">
        <x:v>Oświetlenie&gt;Oświetlenie przemysłowe wewnętrzne&gt;Lampy hermetyczne</x:v>
      </x:c>
      <x:c r="E42" s="39" t="str">
        <x:v>Oprawy hermetyczne</x:v>
      </x:c>
      <x:c r="F42" s="39" t="str">
        <x:v>Producent; Moc [W]; Strumień świetlny [lm]; Barwa światła; Stopień ochrony [IP]; Długość; Typ produktu; Dane producenta; Źródło światła</x:v>
      </x:c>
      <x:c r="G42" s="57" t="n">
        <x:v>6</x:v>
      </x:c>
      <x:c r="H42" s="39" t="str">
        <x:v>Długość; Typ produktu; Źródło światła</x:v>
      </x:c>
      <x:c r="I42" s="39" t="str">
        <x:v>Kąt świecenia [°]; Kolor; Napięcie [V]</x:v>
      </x:c>
      <x:c r="J42" s="39" t="str">
        <x:v>—</x:v>
      </x:c>
      <x:c r="K42" s="39" t="str">
        <x:v>—</x:v>
      </x:c>
      <x:c r="L42" s="53" t="str">
        <x:v>KOMPLET</x:v>
      </x:c>
    </x:row>
    <x:row r="43">
      <x:c r="A43" s="45" t="str">
        <x:v>142524</x:v>
      </x:c>
      <x:c r="B43" s="45" t="str">
        <x:v>001580/KOB</x:v>
      </x:c>
      <x:c r="C43" s="39" t="str">
        <x:v>Lampa uliczna z czujnikiem zmierzchu LED CYOTO 100W 4000K 10000lm IP65 Kobi Premium 001580</x:v>
      </x:c>
      <x:c r="D43" s="39" t="str">
        <x:v>Oświetlenie&gt;Oświetlenie zewnętrzne&gt;Lampy uliczne</x:v>
      </x:c>
      <x:c r="E43" s="39" t="str">
        <x:v>Lampy uliczne</x:v>
      </x:c>
      <x:c r="F43" s="39" t="str">
        <x:v>Producent; Moc [W]; Strumień świetlny [lm]; Barwa światła; Stopień ochrony [IP]; Zasilanie; Dane producenta; Typ produktu</x:v>
      </x:c>
      <x:c r="G43" s="57" t="n">
        <x:v>3</x:v>
      </x:c>
      <x:c r="H43" s="39" t="str">
        <x:v>Typ produktu; Zasilanie</x:v>
      </x:c>
      <x:c r="I43" s="39" t="str">
        <x:v>Napięcie [V]</x:v>
      </x:c>
      <x:c r="J43" s="39" t="str">
        <x:v>—</x:v>
      </x:c>
      <x:c r="K43" s="39" t="str">
        <x:v>—</x:v>
      </x:c>
      <x:c r="L43" s="53" t="str">
        <x:v>KOMPLET</x:v>
      </x:c>
    </x:row>
    <x:row r="44">
      <x:c r="A44" s="45" t="str">
        <x:v>142528</x:v>
      </x:c>
      <x:c r="B44" s="45" t="str">
        <x:v>001581/KOB</x:v>
      </x:c>
      <x:c r="C44" s="39" t="str">
        <x:v>Lampa uliczna z czujnikiem zmierzchu LED CYOTO 50W 4000K 5000lm IP65 Kobi Premium 001581</x:v>
      </x:c>
      <x:c r="D44" s="39" t="str">
        <x:v>Oświetlenie&gt;Oświetlenie zewnętrzne&gt;Lampy uliczne</x:v>
      </x:c>
      <x:c r="E44" s="39" t="str">
        <x:v>Lampy uliczne</x:v>
      </x:c>
      <x:c r="F44" s="39" t="str">
        <x:v>Producent; Moc [W]; Strumień świetlny [lm]; Barwa światła; Stopień ochrony [IP]; Zasilanie; Dane producenta; Typ produktu</x:v>
      </x:c>
      <x:c r="G44" s="57" t="n">
        <x:v>3</x:v>
      </x:c>
      <x:c r="H44" s="39" t="str">
        <x:v>Typ produktu; Zasilanie</x:v>
      </x:c>
      <x:c r="I44" s="39" t="str">
        <x:v>Napięcie [V]</x:v>
      </x:c>
      <x:c r="J44" s="39" t="str">
        <x:v>—</x:v>
      </x:c>
      <x:c r="K44" s="39" t="str">
        <x:v>—</x:v>
      </x:c>
      <x:c r="L44" s="53" t="str">
        <x:v>KOMPLET</x:v>
      </x:c>
    </x:row>
    <x:row r="45">
      <x:c r="A45" s="45" t="str">
        <x:v>142532</x:v>
      </x:c>
      <x:c r="B45" s="45" t="str">
        <x:v>001694/KOB</x:v>
      </x:c>
      <x:c r="C45" s="39" t="str">
        <x:v>Plafon LED NAIROS G2 12W 1260lm zmienna barwa 3CCT IP65 biały Kobi Premium 001694</x:v>
      </x:c>
      <x:c r="D45" s="39" t="str">
        <x:v>Oświetlenie&gt;Oświetlenie wewnętrzne&gt;Plafony LED</x:v>
      </x:c>
      <x:c r="E45" s="39" t="str">
        <x:v>Plafony</x:v>
      </x:c>
      <x:c r="F45" s="39" t="str">
        <x:v>Producent; Moc [W]; Strumień świetlny [lm]; Barwa światła; Stopień ochrony [IP]; Czujnik ruchu; Kształt; Kolor; Dane producenta; Sposób montażu</x:v>
      </x:c>
      <x:c r="G45" s="57" t="n">
        <x:v>4</x:v>
      </x:c>
      <x:c r="H45" s="39" t="str">
        <x:v>Czujnik ruchu; Sposób montażu; Kształt</x:v>
      </x:c>
      <x:c r="I45" s="39" t="str">
        <x:v>Kąt świecenia [°]</x:v>
      </x:c>
      <x:c r="J45" s="39" t="str">
        <x:v>—</x:v>
      </x:c>
      <x:c r="K45" s="39" t="str">
        <x:v>—</x:v>
      </x:c>
      <x:c r="L45" s="53" t="str">
        <x:v>KOMPLET</x:v>
      </x:c>
    </x:row>
    <x:row r="46">
      <x:c r="A46" s="45" t="str">
        <x:v>142535</x:v>
      </x:c>
      <x:c r="B46" s="45" t="str">
        <x:v>001695/KOB</x:v>
      </x:c>
      <x:c r="C46" s="39" t="str">
        <x:v>Plafon LED NAIROS G2 12W 1140lm zmienna barwa 3CCT IP65 czarny Kobi Premium 001695</x:v>
      </x:c>
      <x:c r="D46" s="39" t="str">
        <x:v>Oświetlenie&gt;Oświetlenie wewnętrzne&gt;Plafony LED</x:v>
      </x:c>
      <x:c r="E46" s="39" t="str">
        <x:v>Plafony</x:v>
      </x:c>
      <x:c r="F46" s="39" t="str">
        <x:v>Producent; Moc [W]; Strumień świetlny [lm]; Barwa światła; Stopień ochrony [IP]; Czujnik ruchu; Kształt; Kolor; Dane producenta; Sposób montażu</x:v>
      </x:c>
      <x:c r="G46" s="57" t="n">
        <x:v>4</x:v>
      </x:c>
      <x:c r="H46" s="39" t="str">
        <x:v>Czujnik ruchu; Sposób montażu; Kształt</x:v>
      </x:c>
      <x:c r="I46" s="39" t="str">
        <x:v>Kąt świecenia [°]</x:v>
      </x:c>
      <x:c r="J46" s="39" t="str">
        <x:v>—</x:v>
      </x:c>
      <x:c r="K46" s="39" t="str">
        <x:v>—</x:v>
      </x:c>
      <x:c r="L46" s="53" t="str">
        <x:v>KOMPLET</x:v>
      </x:c>
    </x:row>
    <x:row r="47">
      <x:c r="A47" s="45" t="str">
        <x:v>142539</x:v>
      </x:c>
      <x:c r="B47" s="45" t="str">
        <x:v>001701/KOB</x:v>
      </x:c>
      <x:c r="C47" s="39" t="str">
        <x:v>Plafon LED z czujnikiem ruchu NAIROS G2 12W 1260lm zmienna barwa 3CCT IP65 biały Kobi Premium 001701</x:v>
      </x:c>
      <x:c r="D47" s="39" t="str">
        <x:v>Oświetlenie&gt;Oświetlenie wewnętrzne&gt;Plafony LED</x:v>
      </x:c>
      <x:c r="E47" s="39" t="str">
        <x:v>Plafony</x:v>
      </x:c>
      <x:c r="F47" s="39" t="str">
        <x:v>Producent; Moc [W]; Strumień świetlny [lm]; Barwa światła; Stopień ochrony [IP]; Czujnik ruchu; Kształt; Kolor; Dane producenta; Sposób montażu</x:v>
      </x:c>
      <x:c r="G47" s="57" t="n">
        <x:v>4</x:v>
      </x:c>
      <x:c r="H47" s="39" t="str">
        <x:v>Czujnik ruchu; Sposób montażu; Kształt</x:v>
      </x:c>
      <x:c r="I47" s="39" t="str">
        <x:v>Kąt świecenia [°]</x:v>
      </x:c>
      <x:c r="J47" s="39" t="str">
        <x:v>—</x:v>
      </x:c>
      <x:c r="K47" s="39" t="str">
        <x:v>—</x:v>
      </x:c>
      <x:c r="L47" s="53" t="str">
        <x:v>KOMPLET</x:v>
      </x:c>
    </x:row>
    <x:row r="48">
      <x:c r="A48" s="45" t="str">
        <x:v>142544</x:v>
      </x:c>
      <x:c r="B48" s="45" t="str">
        <x:v>001696/KOB</x:v>
      </x:c>
      <x:c r="C48" s="39" t="str">
        <x:v>Plafon LED NAIROS G2 18W 1890lm zmienna barwa 3CCT IP65 biały Kobi Premium 001696</x:v>
      </x:c>
      <x:c r="D48" s="39" t="str">
        <x:v>Oświetlenie&gt;Oświetlenie wewnętrzne&gt;Plafony LED</x:v>
      </x:c>
      <x:c r="E48" s="39" t="str">
        <x:v>Plafony</x:v>
      </x:c>
      <x:c r="F48" s="39" t="str">
        <x:v>Producent; Moc [W]; Strumień świetlny [lm]; Barwa światła; Stopień ochrony [IP]; Czujnik ruchu; Kształt; Kolor; Dane producenta; Sposób montażu</x:v>
      </x:c>
      <x:c r="G48" s="57" t="n">
        <x:v>4</x:v>
      </x:c>
      <x:c r="H48" s="39" t="str">
        <x:v>Czujnik ruchu; Sposób montażu; Kształt</x:v>
      </x:c>
      <x:c r="I48" s="39" t="str">
        <x:v>Kąt świecenia [°]</x:v>
      </x:c>
      <x:c r="J48" s="39" t="str">
        <x:v>—</x:v>
      </x:c>
      <x:c r="K48" s="39" t="str">
        <x:v>—</x:v>
      </x:c>
      <x:c r="L48" s="53" t="str">
        <x:v>KOMPLET</x:v>
      </x:c>
    </x:row>
    <x:row r="49">
      <x:c r="A49" s="45" t="str">
        <x:v>142547</x:v>
      </x:c>
      <x:c r="B49" s="45" t="str">
        <x:v>001703/KOB</x:v>
      </x:c>
      <x:c r="C49" s="39" t="str">
        <x:v>Plafon LED z czujnikiem ruchu NAIROS G2 18W 1890lm zmienna barwa 3CCT IP65 biały Kobi Premium 001703</x:v>
      </x:c>
      <x:c r="D49" s="39" t="str">
        <x:v>Oświetlenie&gt;Oświetlenie wewnętrzne&gt;Plafony LED</x:v>
      </x:c>
      <x:c r="E49" s="39" t="str">
        <x:v>Plafony</x:v>
      </x:c>
      <x:c r="F49" s="39" t="str">
        <x:v>Producent; Moc [W]; Strumień świetlny [lm]; Barwa światła; Stopień ochrony [IP]; Czujnik ruchu; Kształt; Kolor; Dane producenta; Sposób montażu</x:v>
      </x:c>
      <x:c r="G49" s="57" t="n">
        <x:v>4</x:v>
      </x:c>
      <x:c r="H49" s="39" t="str">
        <x:v>Czujnik ruchu; Sposób montażu; Kształt</x:v>
      </x:c>
      <x:c r="I49" s="39" t="str">
        <x:v>Kąt świecenia [°]</x:v>
      </x:c>
      <x:c r="J49" s="39" t="str">
        <x:v>—</x:v>
      </x:c>
      <x:c r="K49" s="39" t="str">
        <x:v>—</x:v>
      </x:c>
      <x:c r="L49" s="53" t="str">
        <x:v>KOMPLET</x:v>
      </x:c>
    </x:row>
    <x:row r="50">
      <x:c r="A50" s="45" t="str">
        <x:v>142574</x:v>
      </x:c>
      <x:c r="B50" s="45" t="str">
        <x:v>001726/KOB</x:v>
      </x:c>
      <x:c r="C50" s="39" t="str">
        <x:v>Oprawa hermetyczna liniowa LED NEXFORCE N2 120 cm 36W 6300lm 4000K neutralna IP66 Kobi 001726</x:v>
      </x:c>
      <x:c r="D50" s="39" t="str">
        <x:v>Oświetlenie&gt;Oświetlenie przemysłowe wewnętrzne&gt;Lampy hermetyczne</x:v>
      </x:c>
      <x:c r="E50" s="39" t="str">
        <x:v>Oprawy hermetyczne</x:v>
      </x:c>
      <x:c r="F50" s="39" t="str">
        <x:v>Producent; Moc [W]; Strumień świetlny [lm]; Barwa światła; Stopień ochrony [IP]; Długość; Typ produktu; Dane producenta; Źródło światła</x:v>
      </x:c>
      <x:c r="G50" s="57" t="n">
        <x:v>6</x:v>
      </x:c>
      <x:c r="H50" s="39" t="str">
        <x:v>Barwa światła; Typ produktu; Źródło światła</x:v>
      </x:c>
      <x:c r="I50" s="39" t="str">
        <x:v>Kąt świecenia [°]; Kolor; Napięcie [V]</x:v>
      </x:c>
      <x:c r="J50" s="39" t="str">
        <x:v>—</x:v>
      </x:c>
      <x:c r="K50" s="39" t="str">
        <x:v>—</x:v>
      </x:c>
      <x:c r="L50" s="53" t="str">
        <x:v>KOMPLET</x:v>
      </x:c>
    </x:row>
    <x:row r="51">
      <x:c r="A51" s="45" t="str">
        <x:v>142581</x:v>
      </x:c>
      <x:c r="B51" s="45" t="str">
        <x:v>001727/KOB</x:v>
      </x:c>
      <x:c r="C51" s="39" t="str">
        <x:v>Oprawa hermetyczna liniowa LED NEXFORCE N2 150cm 52W 9000lm 4000K neutralna IP66 Kobi 001727</x:v>
      </x:c>
      <x:c r="D51" s="39" t="str">
        <x:v>Oświetlenie&gt;Oświetlenie przemysłowe wewnętrzne&gt;Lampy hermetyczne</x:v>
      </x:c>
      <x:c r="E51" s="39" t="str">
        <x:v>Oprawy hermetyczne</x:v>
      </x:c>
      <x:c r="F51" s="39" t="str">
        <x:v>Producent; Moc [W]; Strumień świetlny [lm]; Barwa światła; Stopień ochrony [IP]; Długość; Typ produktu; Dane producenta; Źródło światła</x:v>
      </x:c>
      <x:c r="G51" s="57" t="n">
        <x:v>6</x:v>
      </x:c>
      <x:c r="H51" s="39" t="str">
        <x:v>Barwa światła; Typ produktu; Źródło światła</x:v>
      </x:c>
      <x:c r="I51" s="39" t="str">
        <x:v>Kąt świecenia [°]; Kolor; Napięcie [V]</x:v>
      </x:c>
      <x:c r="J51" s="39" t="str">
        <x:v>—</x:v>
      </x:c>
      <x:c r="K51" s="39" t="str">
        <x:v>—</x:v>
      </x:c>
      <x:c r="L51" s="53" t="str">
        <x:v>KOMPLET</x:v>
      </x:c>
    </x:row>
    <x:row r="52">
      <x:c r="A52" s="45" t="str">
        <x:v>143665</x:v>
      </x:c>
      <x:c r="B52" s="45" t="str">
        <x:v>001820/KOB</x:v>
      </x:c>
      <x:c r="C52" s="39" t="str">
        <x:v>Lampa uliczna z czujnikiem ruchu solarna 30W 3000/4000K 4800lm 2CCT IP65 Kobi Premium 001820</x:v>
      </x:c>
      <x:c r="D52" s="39" t="str">
        <x:v>Oświetlenie&gt;Oświetlenie zewnętrzne&gt;Lampy uliczne</x:v>
      </x:c>
      <x:c r="E52" s="39" t="str">
        <x:v>Lampy uliczne</x:v>
      </x:c>
      <x:c r="F52" s="39" t="str">
        <x:v>Producent; Moc [W]; Strumień świetlny [lm]; Barwa światła; Stopień ochrony [IP]; Zasilanie; Dane producenta; Typ produktu</x:v>
      </x:c>
      <x:c r="G52" s="57" t="n">
        <x:v>4</x:v>
      </x:c>
      <x:c r="H52" s="39" t="str">
        <x:v>Stopień ochrony [IP]; Typ produktu; Zasilanie</x:v>
      </x:c>
      <x:c r="I52" s="39" t="str">
        <x:v>Napięcie [V]</x:v>
      </x:c>
      <x:c r="J52" s="39" t="str">
        <x:v>—</x:v>
      </x:c>
      <x:c r="K52" s="39" t="str">
        <x:v>—</x:v>
      </x:c>
      <x:c r="L52" s="53" t="str">
        <x:v>KOMPLET</x:v>
      </x:c>
    </x:row>
    <x:row r="53">
      <x:c r="A53" s="45" t="str">
        <x:v>144556</x:v>
      </x:c>
      <x:c r="B53" s="45" t="str">
        <x:v>001807/KOB</x:v>
      </x:c>
      <x:c r="C53" s="39" t="str">
        <x:v>Naświetlacz solarny LED z czujnikiem ruchu HALOGEN MHC 5W 4000K 500lm KOBI 001807</x:v>
      </x:c>
      <x:c r="D53" s="39" t="str">
        <x:v>Oświetlenie&gt;Oświetlenie zewnętrzne&gt;Naświetlacze LED</x:v>
      </x:c>
      <x:c r="E53" s="39" t="str">
        <x:v>Naświetlacze LED</x:v>
      </x:c>
      <x:c r="F53" s="39" t="str">
        <x:v>Producent; Moc [W]; Strumień świetlny [lm]; Barwa światła; Stopień ochrony [IP]; Czujnik ruchu; Zasilanie; Kolor; Dane producenta; Typ produktu</x:v>
      </x:c>
      <x:c r="G53" s="57" t="n">
        <x:v>4</x:v>
      </x:c>
      <x:c r="H53" s="39" t="str">
        <x:v>Typ produktu; Zasilanie</x:v>
      </x:c>
      <x:c r="I53" s="39" t="str">
        <x:v>Kąt świecenia [°]; Napięcie [V]</x:v>
      </x:c>
      <x:c r="J53" s="39" t="str">
        <x:v>—</x:v>
      </x:c>
      <x:c r="K53" s="39" t="str">
        <x:v>—</x:v>
      </x:c>
      <x:c r="L53" s="53" t="str">
        <x:v>KOMPLET</x:v>
      </x:c>
    </x:row>
    <x:row r="54">
      <x:c r="A54" s="45" t="str">
        <x:v>145163</x:v>
      </x:c>
      <x:c r="B54" s="45" t="str">
        <x:v>001783/KOB</x:v>
      </x:c>
      <x:c r="C54" s="39" t="str">
        <x:v>Ramka montażowa do panelu LED 60X60 63MM klik Kobi 001783</x:v>
      </x:c>
      <x:c r="D54" s="39" t="str">
        <x:v>Oświetlenie&gt;Oświetlenie przemysłowe wewnętrzne&gt;Panele LED sufitowe</x:v>
      </x:c>
      <x:c r="E54" s="39" t="str">
        <x:v>Panele LED</x:v>
      </x:c>
      <x:c r="F54" s="39" t="str">
        <x:v>—</x:v>
      </x:c>
      <x:c r="G54" s="57" t="n">
        <x:v>1</x:v>
      </x:c>
      <x:c r="H54" s="39" t="str">
        <x:v>—</x:v>
      </x:c>
      <x:c r="I54" s="39" t="str">
        <x:v>Kolor</x:v>
      </x:c>
      <x:c r="J54" s="39" t="str">
        <x:v>—</x:v>
      </x:c>
      <x:c r="K54" s="39" t="str">
        <x:v>—</x:v>
      </x:c>
      <x:c r="L54" s="53" t="str">
        <x:v>NIE_DOTYCZY</x:v>
      </x:c>
    </x:row>
    <x:row r="55">
      <x:c r="A55" s="45" t="str">
        <x:v>146795</x:v>
      </x:c>
      <x:c r="B55" s="45" t="str">
        <x:v>001866/KOB</x:v>
      </x:c>
      <x:c r="C55" s="39" t="str">
        <x:v>Naświetlacz LED US 300W 5000K IP65 60ST DIM Kobi Pro 001866</x:v>
      </x:c>
      <x:c r="D55" s="39" t="str">
        <x:v>Oświetlenie&gt;Oświetlenie zewnętrzne&gt;Naświetlacze LED</x:v>
      </x:c>
      <x:c r="E55" s="39" t="str">
        <x:v>Naświetlacze LED</x:v>
      </x:c>
      <x:c r="F55" s="39" t="str">
        <x:v>Producent; Moc [W]; Strumień świetlny [lm]; Barwa światła; Stopień ochrony [IP]; Czujnik ruchu; Zasilanie; Kolor; Dane producenta; Typ produktu</x:v>
      </x:c>
      <x:c r="G55" s="57" t="n">
        <x:v>6</x:v>
      </x:c>
      <x:c r="H55" s="39" t="str">
        <x:v>Barwa światła; Czujnik ruchu; Typ produktu; Zasilanie</x:v>
      </x:c>
      <x:c r="I55" s="39" t="str">
        <x:v>Kąt świecenia [°]; Napięcie [V]</x:v>
      </x:c>
      <x:c r="J55" s="39" t="str">
        <x:v>—</x:v>
      </x:c>
      <x:c r="K55" s="39" t="str">
        <x:v>—</x:v>
      </x:c>
      <x:c r="L55" s="53" t="str">
        <x:v>KOMPLET</x:v>
      </x:c>
    </x:row>
    <x:row r="56">
      <x:c r="A56" s="46" t="str">
        <x:v>157177</x:v>
      </x:c>
      <x:c r="B56" s="46" t="str">
        <x:v>001792/KOB</x:v>
      </x:c>
      <x:c r="C56" s="40" t="str">
        <x:v>Oprawa hermetyczna liniowa LED NEGRO 36W 6000K Kobi Premium 001792</x:v>
      </x:c>
      <x:c r="D56" s="40" t="str">
        <x:v>Oświetlenie&gt;Oświetlenie przemysłowe wewnętrzne&gt;Lampy hermetyczne|Wyprzedaż</x:v>
      </x:c>
      <x:c r="E56" s="40" t="str">
        <x:v>Oprawy hermetyczne</x:v>
      </x:c>
      <x:c r="F56" s="40" t="str">
        <x:v>Producent; Moc [W]; Strumień świetlny [lm]; Barwa światła; Stopień ochrony [IP]; Długość; Typ produktu; Dane producenta; Źródło światła</x:v>
      </x:c>
      <x:c r="G56" s="58" t="n">
        <x:v>6</x:v>
      </x:c>
      <x:c r="H56" s="40" t="str">
        <x:v>Barwa światła; Typ produktu; Źródło światła</x:v>
      </x:c>
      <x:c r="I56" s="40" t="str">
        <x:v>Kąt świecenia [°]; Kolor; Napięcie [V]</x:v>
      </x:c>
      <x:c r="J56" s="40" t="str">
        <x:v>Długość</x:v>
      </x:c>
      <x:c r="K56" s="40" t="str">
        <x:v>—</x:v>
      </x:c>
      <x:c r="L56" s="55" t="str">
        <x:v>DO_SPRAWDZENIA</x:v>
      </x:c>
    </x:row>
  </x:sheetData>
  <x:conditionalFormatting sqref="L2:L56">
    <x:cfRule type="expression" dxfId="6" priority="1">
      <x:formula>L2="KOMPLET"</x:formula>
    </x:cfRule>
    <x:cfRule type="expression" dxfId="7" priority="2">
      <x:formula>L2="OK"</x:formula>
    </x:cfRule>
    <x:cfRule type="expression" dxfId="8" priority="3">
      <x:formula>L2="BEZ ZMIAN"</x:formula>
    </x:cfRule>
    <x:cfRule type="expression" dxfId="9" priority="4">
      <x:formula>L2="WARNING"</x:formula>
    </x:cfRule>
    <x:cfRule type="expression" dxfId="10" priority="5">
      <x:formula>L2="DO_SPRAWDZENIA"</x:formula>
    </x:cfRule>
    <x:cfRule type="expression" dxfId="11" priority="6">
      <x:formula>L2="NIE_DOTYCZY"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0e50cd7df3f472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62" hidden="0" customWidth="1"/>
    <x:col min="4" max="4" width="74" hidden="0" customWidth="1"/>
    <x:col min="5" max="5" width="38" hidden="0" customWidth="1"/>
    <x:col min="6" max="6" width="34" hidden="0" customWidth="1"/>
    <x:col min="7" max="7" width="58" hidden="0" customWidth="1"/>
    <x:col min="8" max="8" width="22" hidden="0" customWidth="1"/>
  </x:cols>
  <x:sheetData>
    <x:row r="1" ht="46" customHeight="1">
      <x:c r="A1" s="12" t="str">
        <x:v>ID produktu</x:v>
      </x:c>
      <x:c r="B1" s="12" t="str">
        <x:v>SKU</x:v>
      </x:c>
      <x:c r="C1" s="12" t="str">
        <x:v>Tytuł produktu</x:v>
      </x:c>
      <x:c r="D1" s="12" t="str">
        <x:v>Kategorie z pliku</x:v>
      </x:c>
      <x:c r="E1" s="12" t="str">
        <x:v>Reguła kategorii</x:v>
      </x:c>
      <x:c r="F1" s="12" t="str">
        <x:v>Brakujący atrybut</x:v>
      </x:c>
      <x:c r="G1" s="12" t="str">
        <x:v>Powód</x:v>
      </x:c>
      <x:c r="H1" s="12" t="str">
        <x:v>Status</x:v>
      </x:c>
    </x:row>
    <x:row r="2">
      <x:c r="A2" s="44" t="str">
        <x:v>33537</x:v>
      </x:c>
      <x:c r="B2" s="44" t="str">
        <x:v>KQLI10W/KOB</x:v>
      </x:c>
      <x:c r="C2" s="38" t="str">
        <x:v>Oprawa N/T ruchoma 3000K biała LAHTI 10W KQLI10W</x:v>
      </x:c>
      <x:c r="D2" s="38" t="str">
        <x:v>Oświetlenie&gt;Oświetlenie wewnętrzne&gt;Oprawy natynkowe|Outlet|Wyprzedaż</x:v>
      </x:c>
      <x:c r="E2" s="38" t="str">
        <x:v>Oprawy natynkowe</x:v>
      </x:c>
      <x:c r="F2" s="38" t="str">
        <x:v>Stopień ochrony [IP]</x:v>
      </x:c>
      <x:c r="G2" s="38" t="str">
        <x:v>Brak wartości w nowym pliku i w zweryfikowanych danych Kobi.</x:v>
      </x:c>
      <x:c r="H2" s="51" t="str">
        <x:v>DO_SPRAWDZENIA</x:v>
      </x:c>
    </x:row>
    <x:row r="3">
      <x:c r="A3" s="45" t="str">
        <x:v>33541</x:v>
      </x:c>
      <x:c r="B3" s="45" t="str">
        <x:v>002184/KOB</x:v>
      </x:c>
      <x:c r="C3" s="39" t="str">
        <x:v>Oprawa natynkowa gipsowa LINDO CHROME 1XGU10 Biała KRLC</x:v>
      </x:c>
      <x:c r="D3" s="39" t="str">
        <x:v>Oświetlenie&gt;Oświetlenie wewnętrzne&gt;Oprawy natynkowe|Outlet|Wyprzedaż</x:v>
      </x:c>
      <x:c r="E3" s="39" t="str">
        <x:v>Oprawy natynkowe</x:v>
      </x:c>
      <x:c r="F3" s="39" t="str">
        <x:v>Stopień ochrony [IP]</x:v>
      </x:c>
      <x:c r="G3" s="39" t="str">
        <x:v>Brak wartości w nowym pliku i w zweryfikowanych danych Kobi.</x:v>
      </x:c>
      <x:c r="H3" s="53" t="str">
        <x:v>DO_SPRAWDZENIA</x:v>
      </x:c>
    </x:row>
    <x:row r="4">
      <x:c r="A4" s="45" t="str">
        <x:v>33545</x:v>
      </x:c>
      <x:c r="B4" s="45" t="str">
        <x:v>002196/KOB</x:v>
      </x:c>
      <x:c r="C4" s="39" t="str">
        <x:v>Oprawa N/T beton 2XGU10 chrom PURO MASSO KRPMC</x:v>
      </x:c>
      <x:c r="D4" s="39" t="str">
        <x:v>Oświetlenie&gt;Oświetlenie wewnętrzne&gt;Oprawy natynkowe|Outlet|Wyprzedaż</x:v>
      </x:c>
      <x:c r="E4" s="39" t="str">
        <x:v>Oprawy natynkowe</x:v>
      </x:c>
      <x:c r="F4" s="39" t="str">
        <x:v>Stopień ochrony [IP]</x:v>
      </x:c>
      <x:c r="G4" s="39" t="str">
        <x:v>Brak wartości w nowym pliku i w zweryfikowanych danych Kobi.</x:v>
      </x:c>
      <x:c r="H4" s="53" t="str">
        <x:v>DO_SPRAWDZENIA</x:v>
      </x:c>
    </x:row>
    <x:row r="5">
      <x:c r="A5" s="45" t="str">
        <x:v>33547</x:v>
      </x:c>
      <x:c r="B5" s="45" t="str">
        <x:v>002198/KOB</x:v>
      </x:c>
      <x:c r="C5" s="39" t="str">
        <x:v>Oprawa N/T Gipsowa 2XGU10 Czarna PURO NERO KRPN</x:v>
      </x:c>
      <x:c r="D5" s="39" t="str">
        <x:v>Oświetlenie&gt;Oświetlenie wewnętrzne&gt;Oprawy natynkowe|Outlet|Wyprzedaż</x:v>
      </x:c>
      <x:c r="E5" s="39" t="str">
        <x:v>Oprawy natynkowe</x:v>
      </x:c>
      <x:c r="F5" s="39" t="str">
        <x:v>Stopień ochrony [IP]</x:v>
      </x:c>
      <x:c r="G5" s="39" t="str">
        <x:v>Brak wartości w nowym pliku i w zweryfikowanych danych Kobi.</x:v>
      </x:c>
      <x:c r="H5" s="53" t="str">
        <x:v>DO_SPRAWDZENIA</x:v>
      </x:c>
    </x:row>
    <x:row r="6">
      <x:c r="A6" s="45" t="str">
        <x:v>70472</x:v>
      </x:c>
      <x:c r="B6" s="45" t="str">
        <x:v>002333/KOB</x:v>
      </x:c>
      <x:c r="C6" s="39" t="str">
        <x:v>Oprawa najazdowa dogruntowa okrągła GU10 IP65 ENTRADA 2 Kobi KUEA2</x:v>
      </x:c>
      <x:c r="D6" s="39" t="str">
        <x:v>Oświetlenie&gt;Oświetlenie zewnętrzne&gt;Lampy ogrodowe&gt;Lampy najazdowe</x:v>
      </x:c>
      <x:c r="E6" s="39" t="str">
        <x:v>Oprawy najazdowe</x:v>
      </x:c>
      <x:c r="F6" s="39" t="str">
        <x:v>Kolor</x:v>
      </x:c>
      <x:c r="G6" s="39" t="str">
        <x:v>Brak wartości w nowym pliku i w zweryfikowanych danych Kobi.</x:v>
      </x:c>
      <x:c r="H6" s="53" t="str">
        <x:v>DO_SPRAWDZENIA</x:v>
      </x:c>
    </x:row>
    <x:row r="7">
      <x:c r="A7" s="45" t="str">
        <x:v>70472</x:v>
      </x:c>
      <x:c r="B7" s="45" t="str">
        <x:v>002333/KOB</x:v>
      </x:c>
      <x:c r="C7" s="39" t="str">
        <x:v>Oprawa najazdowa dogruntowa okrągła GU10 IP65 ENTRADA 2 Kobi KUEA2</x:v>
      </x:c>
      <x:c r="D7" s="39" t="str">
        <x:v>Oświetlenie&gt;Oświetlenie zewnętrzne&gt;Lampy ogrodowe&gt;Lampy najazdowe</x:v>
      </x:c>
      <x:c r="E7" s="39" t="str">
        <x:v>Oprawy najazdowe</x:v>
      </x:c>
      <x:c r="F7" s="39" t="str">
        <x:v>Stopień odporności [IK]</x:v>
      </x:c>
      <x:c r="G7" s="39" t="str">
        <x:v>Brak wartości w nowym pliku i w zweryfikowanych danych Kobi.</x:v>
      </x:c>
      <x:c r="H7" s="53" t="str">
        <x:v>DO_SPRAWDZENIA</x:v>
      </x:c>
    </x:row>
    <x:row r="8">
      <x:c r="A8" s="45" t="str">
        <x:v>99579</x:v>
      </x:c>
      <x:c r="B8" s="45" t="str">
        <x:v>002223/KOB</x:v>
      </x:c>
      <x:c r="C8" s="39" t="str">
        <x:v>Oprawa ogrodowa kinkiet elewacyjny ENTERA 10W 4000K IP54 KTEACZ</x:v>
      </x:c>
      <x:c r="D8" s="39" t="str">
        <x:v>Oświetlenie&gt;Oświetlenie zewnętrzne&gt;Lampy ogrodowe&gt;Kinkiety zewnętrzne</x:v>
      </x:c>
      <x:c r="E8" s="39" t="str">
        <x:v>Lampy elewacyjne, kinkiety zewnętrzne</x:v>
      </x:c>
      <x:c r="F8" s="39" t="str">
        <x:v>Kolor</x:v>
      </x:c>
      <x:c r="G8" s="39" t="str">
        <x:v>Brak wartości w nowym pliku i w zweryfikowanych danych Kobi.</x:v>
      </x:c>
      <x:c r="H8" s="53" t="str">
        <x:v>DO_SPRAWDZENIA</x:v>
      </x:c>
    </x:row>
    <x:row r="9">
      <x:c r="A9" s="45" t="str">
        <x:v>99579</x:v>
      </x:c>
      <x:c r="B9" s="45" t="str">
        <x:v>002223/KOB</x:v>
      </x:c>
      <x:c r="C9" s="39" t="str">
        <x:v>Oprawa ogrodowa kinkiet elewacyjny ENTERA 10W 4000K IP54 KTEACZ</x:v>
      </x:c>
      <x:c r="D9" s="39" t="str">
        <x:v>Oświetlenie&gt;Oświetlenie zewnętrzne&gt;Lampy ogrodowe&gt;Kinkiety zewnętrzne</x:v>
      </x:c>
      <x:c r="E9" s="39" t="str">
        <x:v>Lampy elewacyjne, kinkiety zewnętrzne</x:v>
      </x:c>
      <x:c r="F9" s="39" t="str">
        <x:v>Kierunek świecenia</x:v>
      </x:c>
      <x:c r="G9" s="39" t="str">
        <x:v>Brak wartości w nowym pliku i w zweryfikowanych danych Kobi.</x:v>
      </x:c>
      <x:c r="H9" s="53" t="str">
        <x:v>DO_SPRAWDZENIA</x:v>
      </x:c>
    </x:row>
    <x:row r="10">
      <x:c r="A10" s="45" t="str">
        <x:v>99580</x:v>
      </x:c>
      <x:c r="B10" s="45" t="str">
        <x:v>002224/KOB</x:v>
      </x:c>
      <x:c r="C10" s="39" t="str">
        <x:v>Oprawa ogrodowa kinkiet elewacyjny ENTERA P 10W 4000K IP54 KOBI KTEAPCZ</x:v>
      </x:c>
      <x:c r="D10" s="39" t="str">
        <x:v>Oświetlenie&gt;Oświetlenie zewnętrzne&gt;Lampy ogrodowe&gt;Kinkiety zewnętrzne</x:v>
      </x:c>
      <x:c r="E10" s="39" t="str">
        <x:v>Lampy elewacyjne, kinkiety zewnętrzne</x:v>
      </x:c>
      <x:c r="F10" s="39" t="str">
        <x:v>Kolor</x:v>
      </x:c>
      <x:c r="G10" s="39" t="str">
        <x:v>Brak wartości w nowym pliku i w zweryfikowanych danych Kobi.</x:v>
      </x:c>
      <x:c r="H10" s="53" t="str">
        <x:v>DO_SPRAWDZENIA</x:v>
      </x:c>
    </x:row>
    <x:row r="11">
      <x:c r="A11" s="45" t="str">
        <x:v>99580</x:v>
      </x:c>
      <x:c r="B11" s="45" t="str">
        <x:v>002224/KOB</x:v>
      </x:c>
      <x:c r="C11" s="39" t="str">
        <x:v>Oprawa ogrodowa kinkiet elewacyjny ENTERA P 10W 4000K IP54 KOBI KTEAPCZ</x:v>
      </x:c>
      <x:c r="D11" s="39" t="str">
        <x:v>Oświetlenie&gt;Oświetlenie zewnętrzne&gt;Lampy ogrodowe&gt;Kinkiety zewnętrzne</x:v>
      </x:c>
      <x:c r="E11" s="39" t="str">
        <x:v>Lampy elewacyjne, kinkiety zewnętrzne</x:v>
      </x:c>
      <x:c r="F11" s="39" t="str">
        <x:v>Kierunek świecenia</x:v>
      </x:c>
      <x:c r="G11" s="39" t="str">
        <x:v>Brak wartości w nowym pliku i w zweryfikowanych danych Kobi.</x:v>
      </x:c>
      <x:c r="H11" s="53" t="str">
        <x:v>DO_SPRAWDZENIA</x:v>
      </x:c>
    </x:row>
    <x:row r="12">
      <x:c r="A12" s="45" t="str">
        <x:v>102385</x:v>
      </x:c>
      <x:c r="B12" s="45" t="str">
        <x:v>001809/KOB</x:v>
      </x:c>
      <x:c r="C12" s="39" t="str">
        <x:v>Naświetlacz LED z czujnikiem ruchu i panelem solarnym 30W 4000K b. neutralna 4800lm IP65 Kobi KFNSC30NB KFNSCS30NB</x:v>
      </x:c>
      <x:c r="D12" s="39" t="str">
        <x:v>Oświetlenie&gt;Oświetlenie zewnętrzne&gt;Naświetlacze LED</x:v>
      </x:c>
      <x:c r="E12" s="39" t="str">
        <x:v>Naświetlacze LED</x:v>
      </x:c>
      <x:c r="F12" s="39" t="str">
        <x:v>Kolor</x:v>
      </x:c>
      <x:c r="G12" s="39" t="str">
        <x:v>Brak wartości w nowym pliku i w zweryfikowanych danych Kobi.</x:v>
      </x:c>
      <x:c r="H12" s="53" t="str">
        <x:v>DO_SPRAWDZENIA</x:v>
      </x:c>
    </x:row>
    <x:row r="13">
      <x:c r="A13" s="45" t="str">
        <x:v>142490</x:v>
      </x:c>
      <x:c r="B13" s="45" t="str">
        <x:v>001431/KOB</x:v>
      </x:c>
      <x:c r="C13" s="39" t="str">
        <x:v>Latarka LED mini X-MPR MICRO IP44 370+280lm 500mAh 7 trybów Kobi 001431</x:v>
      </x:c>
      <x:c r="D13" s="39" t="str">
        <x:v>Oświetlenie&gt;Latarki</x:v>
      </x:c>
      <x:c r="E13" s="39" t="str">
        <x:v>Latarki</x:v>
      </x:c>
      <x:c r="F13" s="39" t="str">
        <x:v>Kolor</x:v>
      </x:c>
      <x:c r="G13" s="39" t="str">
        <x:v>Brak wartości w nowym pliku i w zweryfikowanych danych Kobi.</x:v>
      </x:c>
      <x:c r="H13" s="53" t="str">
        <x:v>DO_SPRAWDZENIA</x:v>
      </x:c>
    </x:row>
    <x:row r="14">
      <x:c r="A14" s="46" t="str">
        <x:v>157177</x:v>
      </x:c>
      <x:c r="B14" s="46" t="str">
        <x:v>001792/KOB</x:v>
      </x:c>
      <x:c r="C14" s="40" t="str">
        <x:v>Oprawa hermetyczna liniowa LED NEGRO 36W 6000K Kobi Premium 001792</x:v>
      </x:c>
      <x:c r="D14" s="40" t="str">
        <x:v>Oświetlenie&gt;Oświetlenie przemysłowe wewnętrzne&gt;Lampy hermetyczne|Wyprzedaż</x:v>
      </x:c>
      <x:c r="E14" s="40" t="str">
        <x:v>Oprawy hermetyczne</x:v>
      </x:c>
      <x:c r="F14" s="40" t="str">
        <x:v>Długość</x:v>
      </x:c>
      <x:c r="G14" s="40" t="str">
        <x:v>Brak wartości w nowym pliku i w zweryfikowanych danych Kobi.</x:v>
      </x:c>
      <x:c r="H14" s="55" t="str">
        <x:v>DO_SPRAWDZENIA</x:v>
      </x:c>
    </x:row>
  </x:sheetData>
  <x:conditionalFormatting sqref="H2:H14">
    <x:cfRule type="expression" dxfId="12" priority="1">
      <x:formula>H2="KOMPLET"</x:formula>
    </x:cfRule>
    <x:cfRule type="expression" dxfId="13" priority="2">
      <x:formula>H2="OK"</x:formula>
    </x:cfRule>
    <x:cfRule type="expression" dxfId="14" priority="3">
      <x:formula>H2="BEZ ZMIAN"</x:formula>
    </x:cfRule>
    <x:cfRule type="expression" dxfId="15" priority="4">
      <x:formula>H2="WARNING"</x:formula>
    </x:cfRule>
    <x:cfRule type="expression" dxfId="16" priority="5">
      <x:formula>H2="DO_SPRAWDZENIA"</x:formula>
    </x:cfRule>
    <x:cfRule type="expression" dxfId="17" priority="6">
      <x:formula>H2="NIE_DOTYCZY"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49a70deab3543d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0" hidden="0" customWidth="1"/>
    <x:col min="3" max="3" width="14" hidden="0" customWidth="1"/>
    <x:col min="4" max="4" width="22" hidden="0" customWidth="1"/>
    <x:col min="5" max="5" width="22" hidden="0" customWidth="1"/>
    <x:col min="6" max="6" width="70" hidden="0" customWidth="1"/>
  </x:cols>
  <x:sheetData>
    <x:row r="1" ht="46" customHeight="1">
      <x:c r="A1" s="12" t="str">
        <x:v>Atrybut</x:v>
      </x:c>
      <x:c r="B1" s="12" t="str">
        <x:v>Nagłówek w pliku WooCommerce</x:v>
      </x:c>
      <x:c r="C1" s="12" t="str">
        <x:v>Kolumna</x:v>
      </x:c>
      <x:c r="D1" s="12" t="str">
        <x:v>Wypełnione wartości</x:v>
      </x:c>
      <x:c r="E1" s="12" t="str">
        <x:v>Nierozwiązane braki</x:v>
      </x:c>
      <x:c r="F1" s="12" t="str">
        <x:v>Uwagi</x:v>
      </x:c>
    </x:row>
    <x:row r="2">
      <x:c r="A2" s="38" t="str">
        <x:v>Kierunek świecenia</x:v>
      </x:c>
      <x:c r="B2" s="38" t="str">
        <x:v>Atrybut produktu: Kierunek świecenia</x:v>
      </x:c>
      <x:c r="C2" s="51" t="str">
        <x:v>AO</x:v>
      </x:c>
      <x:c r="D2" s="56" t="n">
        <x:v>0</x:v>
      </x:c>
      <x:c r="E2" s="56" t="n">
        <x:v>2</x:v>
      </x:c>
      <x:c r="F2" s="38" t="str">
        <x:v>Kolumna dodana, lecz brak bezpiecznej wartości w dostępnych danych.</x:v>
      </x:c>
    </x:row>
    <x:row r="3">
      <x:c r="A3" s="40" t="str">
        <x:v>Czas świecenia</x:v>
      </x:c>
      <x:c r="B3" s="40" t="str">
        <x:v>Atrybut produktu: Czas świecenia</x:v>
      </x:c>
      <x:c r="C3" s="55" t="str">
        <x:v>AP</x:v>
      </x:c>
      <x:c r="D3" s="58" t="n">
        <x:v>1</x:v>
      </x:c>
      <x:c r="E3" s="58" t="n">
        <x:v>0</x:v>
      </x:c>
      <x:c r="F3" s="40" t="str">
        <x:v>Kolumna dodana; wpisano wyłącznie wartości potwierdzone źródłem.</x:v>
      </x:c>
    </x:row>
  </x:sheetData>
  <x:pageMargins left="0.7" right="0.7" top="0.75" bottom="0.75" header="0.3" footer="0.3"/>
  <x:tableParts count="1">
    <x:tablePart xmlns:r="http://schemas.openxmlformats.org/officeDocument/2006/relationships" r:id="Rc80270dc914a4f9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62" hidden="0" customWidth="1"/>
    <x:col min="4" max="4" width="18" hidden="0" customWidth="1"/>
    <x:col min="5" max="5" width="18" hidden="0" customWidth="1"/>
    <x:col min="6" max="6" width="70" hidden="0" customWidth="1"/>
    <x:col min="7" max="7" width="20" hidden="0" customWidth="1"/>
  </x:cols>
  <x:sheetData>
    <x:row r="1" ht="46" customHeight="1">
      <x:c r="A1" s="12" t="str">
        <x:v>ID produktu</x:v>
      </x:c>
      <x:c r="B1" s="12" t="str">
        <x:v>SKU</x:v>
      </x:c>
      <x:c r="C1" s="12" t="str">
        <x:v>Tytuł produktu</x:v>
      </x:c>
      <x:c r="D1" s="12" t="str">
        <x:v>Shipping Class</x:v>
      </x:c>
      <x:c r="E1" s="12" t="str">
        <x:v>Backorders</x:v>
      </x:c>
      <x:c r="F1" s="12" t="str">
        <x:v>Wysyłka w ciągu</x:v>
      </x:c>
      <x:c r="G1" s="12" t="str">
        <x:v>Status kontroli</x:v>
      </x:c>
    </x:row>
    <x:row r="2">
      <x:c r="A2" s="44" t="str">
        <x:v>25274</x:v>
      </x:c>
      <x:c r="B2" s="44" t="str">
        <x:v>KPOH36CH/KOB</x:v>
      </x:c>
      <x:c r="C2" s="38" t="str">
        <x:v>Oprawa Downlight GU10 tuba ruchoma chrom aluminium Kobi OH36 KPOH36CH</x:v>
      </x:c>
      <x:c r="D2" s="38" t="str">
        <x:v>Standard</x:v>
      </x:c>
      <x:c r="E2" s="38" t="str">
        <x:v>no</x:v>
      </x:c>
      <x:c r="F2" s="38" t="str">
        <x:v>Niedostępne</x:v>
      </x:c>
      <x:c r="G2" s="51" t="str">
        <x:v>BEZ ZMIAN</x:v>
      </x:c>
    </x:row>
    <x:row r="3">
      <x:c r="A3" s="45" t="str">
        <x:v>25276</x:v>
      </x:c>
      <x:c r="B3" s="45" t="str">
        <x:v>002091/KOB</x:v>
      </x:c>
      <x:c r="C3" s="39" t="str">
        <x:v>Oprawa Downlight GU10 tuba ruchoma czarna Kobi OH36 KPOH36CZ</x:v>
      </x:c>
      <x:c r="D3" s="39" t="str">
        <x:v>Standard</x:v>
      </x:c>
      <x:c r="E3" s="39" t="str">
        <x:v>no</x:v>
      </x:c>
      <x:c r="F3" s="39" t="str">
        <x:v>Termin realizacji do potwierdzenia (około 7 dni)</x:v>
      </x:c>
      <x:c r="G3" s="53" t="str">
        <x:v>BEZ ZMIAN</x:v>
      </x:c>
    </x:row>
    <x:row r="4">
      <x:c r="A4" s="45" t="str">
        <x:v>25278</x:v>
      </x:c>
      <x:c r="B4" s="45" t="str">
        <x:v>002099/KOB</x:v>
      </x:c>
      <x:c r="C4" s="39" t="str">
        <x:v>Oprawa DWONLIGHT GU10 sześcian ruchomy chrom aluminium KOBI OH37 KPOH37CH</x:v>
      </x:c>
      <x:c r="D4" s="39" t="str">
        <x:v>Standard</x:v>
      </x:c>
      <x:c r="E4" s="39" t="str">
        <x:v>no</x:v>
      </x:c>
      <x:c r="F4" s="39" t="str">
        <x:v>Niedostępne</x:v>
      </x:c>
      <x:c r="G4" s="53" t="str">
        <x:v>BEZ ZMIAN</x:v>
      </x:c>
    </x:row>
    <x:row r="5">
      <x:c r="A5" s="45" t="str">
        <x:v>32072</x:v>
      </x:c>
      <x:c r="B5" s="45" t="str">
        <x:v>001605/KOB</x:v>
      </x:c>
      <x:c r="C5" s="39" t="str">
        <x:v>Oprawa hermetyczna IP65 bez statecznika (do świetlówek LED) 2x120CM KOBI HERMETIC KFHCE2120</x:v>
      </x:c>
      <x:c r="D5" s="39" t="str">
        <x:v>Długie</x:v>
      </x:c>
      <x:c r="E5" s="39" t="str">
        <x:v>notify</x:v>
      </x:c>
      <x:c r="F5" s="39" t="str">
        <x:v>Termin realizacji do potwierdzenia (około 3 dni)|Termin realizacji do potwierdzenia (około 7 dni)</x:v>
      </x:c>
      <x:c r="G5" s="53" t="str">
        <x:v>BEZ ZMIAN</x:v>
      </x:c>
    </x:row>
    <x:row r="6">
      <x:c r="A6" s="45" t="str">
        <x:v>32076</x:v>
      </x:c>
      <x:c r="B6" s="45" t="str">
        <x:v>001607/KOB</x:v>
      </x:c>
      <x:c r="C6" s="39" t="str">
        <x:v>Oprawa hermetyczna IP65 bez statecznika (do świetlówek LED) 2x60CM KOBI HERMETIC KFHCE260</x:v>
      </x:c>
      <x:c r="D6" s="39" t="str">
        <x:v>Długie</x:v>
      </x:c>
      <x:c r="E6" s="39" t="str">
        <x:v>notify</x:v>
      </x:c>
      <x:c r="F6" s="39" t="str">
        <x:v>Termin realizacji do potwierdzenia (około 3 dni)|Termin realizacji do potwierdzenia (około 7 dni)</x:v>
      </x:c>
      <x:c r="G6" s="53" t="str">
        <x:v>BEZ ZMIAN</x:v>
      </x:c>
    </x:row>
    <x:row r="7">
      <x:c r="A7" s="45" t="str">
        <x:v>33537</x:v>
      </x:c>
      <x:c r="B7" s="45" t="str">
        <x:v>KQLI10W/KOB</x:v>
      </x:c>
      <x:c r="C7" s="39" t="str">
        <x:v>Oprawa N/T ruchoma 3000K biała LAHTI 10W KQLI10W</x:v>
      </x:c>
      <x:c r="D7" s="39" t="str">
        <x:v>Standard</x:v>
      </x:c>
      <x:c r="E7" s="39" t="str">
        <x:v>no</x:v>
      </x:c>
      <x:c r="F7" s="39" t="str">
        <x:v>Niedostępne</x:v>
      </x:c>
      <x:c r="G7" s="53" t="str">
        <x:v>BEZ ZMIAN</x:v>
      </x:c>
    </x:row>
    <x:row r="8">
      <x:c r="A8" s="45" t="str">
        <x:v>33541</x:v>
      </x:c>
      <x:c r="B8" s="45" t="str">
        <x:v>002184/KOB</x:v>
      </x:c>
      <x:c r="C8" s="39" t="str">
        <x:v>Oprawa natynkowa gipsowa LINDO CHROME 1XGU10 Biała KRLC</x:v>
      </x:c>
      <x:c r="D8" s="39" t="str">
        <x:v>Standard</x:v>
      </x:c>
      <x:c r="E8" s="39" t="str">
        <x:v>no</x:v>
      </x:c>
      <x:c r="F8" s="39" t="str">
        <x:v>Niedostępne</x:v>
      </x:c>
      <x:c r="G8" s="53" t="str">
        <x:v>BEZ ZMIAN</x:v>
      </x:c>
    </x:row>
    <x:row r="9">
      <x:c r="A9" s="45" t="str">
        <x:v>33545</x:v>
      </x:c>
      <x:c r="B9" s="45" t="str">
        <x:v>002196/KOB</x:v>
      </x:c>
      <x:c r="C9" s="39" t="str">
        <x:v>Oprawa N/T beton 2XGU10 chrom PURO MASSO KRPMC</x:v>
      </x:c>
      <x:c r="D9" s="39" t="str">
        <x:v>Standard</x:v>
      </x:c>
      <x:c r="E9" s="39" t="str">
        <x:v>no</x:v>
      </x:c>
      <x:c r="F9" s="39" t="str">
        <x:v>Niedostępne</x:v>
      </x:c>
      <x:c r="G9" s="53" t="str">
        <x:v>BEZ ZMIAN</x:v>
      </x:c>
    </x:row>
    <x:row r="10">
      <x:c r="A10" s="45" t="str">
        <x:v>33547</x:v>
      </x:c>
      <x:c r="B10" s="45" t="str">
        <x:v>002198/KOB</x:v>
      </x:c>
      <x:c r="C10" s="39" t="str">
        <x:v>Oprawa N/T Gipsowa 2XGU10 Czarna PURO NERO KRPN</x:v>
      </x:c>
      <x:c r="D10" s="39" t="str">
        <x:v>Standard</x:v>
      </x:c>
      <x:c r="E10" s="39" t="str">
        <x:v>no</x:v>
      </x:c>
      <x:c r="F10" s="39" t="str">
        <x:v>Niedostępne</x:v>
      </x:c>
      <x:c r="G10" s="53" t="str">
        <x:v>BEZ ZMIAN</x:v>
      </x:c>
    </x:row>
    <x:row r="11">
      <x:c r="A11" s="45" t="str">
        <x:v>35178</x:v>
      </x:c>
      <x:c r="B11" s="45" t="str">
        <x:v>001819/KOB</x:v>
      </x:c>
      <x:c r="C11" s="39" t="str">
        <x:v>Lampa uliczna solarna Solar LED Street 15W 4000K Kobi KFNSU15NB</x:v>
      </x:c>
      <x:c r="D11" s="39" t="str">
        <x:v>Standard</x:v>
      </x:c>
      <x:c r="E11" s="39" t="str">
        <x:v>notify</x:v>
      </x:c>
      <x:c r="F11" s="39" t="str">
        <x:v>Termin realizacji do potwierdzenia (około 3 dni)|Termin realizacji do potwierdzenia (około 7 dni)</x:v>
      </x:c>
      <x:c r="G11" s="53" t="str">
        <x:v>BEZ ZMIAN</x:v>
      </x:c>
    </x:row>
    <x:row r="12">
      <x:c r="A12" s="45" t="str">
        <x:v>39750</x:v>
      </x:c>
      <x:c r="B12" s="45" t="str">
        <x:v>002089/KOB</x:v>
      </x:c>
      <x:c r="C12" s="39" t="str">
        <x:v>Oprawa ruchoma do nadbudowania OH36 biała KPOH36BI</x:v>
      </x:c>
      <x:c r="D12" s="39" t="str">
        <x:v>Standard</x:v>
      </x:c>
      <x:c r="E12" s="39" t="str">
        <x:v>no</x:v>
      </x:c>
      <x:c r="F12" s="39" t="str">
        <x:v>Termin realizacji do potwierdzenia (około 7 dni)</x:v>
      </x:c>
      <x:c r="G12" s="53" t="str">
        <x:v>BEZ ZMIAN</x:v>
      </x:c>
    </x:row>
    <x:row r="13">
      <x:c r="A13" s="45" t="str">
        <x:v>63877</x:v>
      </x:c>
      <x:c r="B13" s="45" t="str">
        <x:v>002225/KOB</x:v>
      </x:c>
      <x:c r="C13" s="39" t="str">
        <x:v>Lampa KULA OGRODOWA GARDEN BALL L 380mm KAMIEŃ IP65 KOBI KTGBL</x:v>
      </x:c>
      <x:c r="D13" s="39" t="str">
        <x:v>Gabaryt</x:v>
      </x:c>
      <x:c r="E13" s="39" t="str">
        <x:v>notify</x:v>
      </x:c>
      <x:c r="F13" s="39" t="str">
        <x:v>Termin realizacji do potwierdzenia (około 7 dni)</x:v>
      </x:c>
      <x:c r="G13" s="53" t="str">
        <x:v>BEZ ZMIAN</x:v>
      </x:c>
    </x:row>
    <x:row r="14">
      <x:c r="A14" s="45" t="str">
        <x:v>63878</x:v>
      </x:c>
      <x:c r="B14" s="45" t="str">
        <x:v>002226/KOB</x:v>
      </x:c>
      <x:c r="C14" s="39" t="str">
        <x:v>Lampa Kula Ogrodowa Garden Ball M 280mm Kamień IP65 KOBI KTGBM</x:v>
      </x:c>
      <x:c r="D14" s="39" t="str">
        <x:v>Gabaryt</x:v>
      </x:c>
      <x:c r="E14" s="39" t="str">
        <x:v>notify</x:v>
      </x:c>
      <x:c r="F14" s="39" t="str">
        <x:v>Termin realizacji do potwierdzenia (około 7 dni)</x:v>
      </x:c>
      <x:c r="G14" s="53" t="str">
        <x:v>BEZ ZMIAN</x:v>
      </x:c>
    </x:row>
    <x:row r="15">
      <x:c r="A15" s="45" t="str">
        <x:v>63879</x:v>
      </x:c>
      <x:c r="B15" s="45" t="str">
        <x:v>002227/KOB</x:v>
      </x:c>
      <x:c r="C15" s="39" t="str">
        <x:v>Lampa Kula Ogrodowa Garden Ball S 250mm Kamień IP65 KOBI KTGBS</x:v>
      </x:c>
      <x:c r="D15" s="39" t="str">
        <x:v>Gabaryt</x:v>
      </x:c>
      <x:c r="E15" s="39" t="str">
        <x:v>notify</x:v>
      </x:c>
      <x:c r="F15" s="39" t="str">
        <x:v>Termin realizacji do potwierdzenia (około 7 dni)</x:v>
      </x:c>
      <x:c r="G15" s="53" t="str">
        <x:v>BEZ ZMIAN</x:v>
      </x:c>
    </x:row>
    <x:row r="16">
      <x:c r="A16" s="45" t="str">
        <x:v>66024</x:v>
      </x:c>
      <x:c r="B16" s="45" t="str">
        <x:v>002097/KOB</x:v>
      </x:c>
      <x:c r="C16" s="39" t="str">
        <x:v>Oprawa tuba ruchoma do nadbudowania OH36S czarna KPOH36SCZ</x:v>
      </x:c>
      <x:c r="D16" s="39" t="str">
        <x:v>Standard</x:v>
      </x:c>
      <x:c r="E16" s="39" t="str">
        <x:v>no</x:v>
      </x:c>
      <x:c r="F16" s="39" t="str">
        <x:v>Termin realizacji do potwierdzenia (około 7 dni)</x:v>
      </x:c>
      <x:c r="G16" s="53" t="str">
        <x:v>BEZ ZMIAN</x:v>
      </x:c>
    </x:row>
    <x:row r="17">
      <x:c r="A17" s="45" t="str">
        <x:v>70472</x:v>
      </x:c>
      <x:c r="B17" s="45" t="str">
        <x:v>002333/KOB</x:v>
      </x:c>
      <x:c r="C17" s="39" t="str">
        <x:v>Oprawa najazdowa dogruntowa okrągła GU10 IP65 ENTRADA 2 Kobi KUEA2</x:v>
      </x:c>
      <x:c r="D17" s="39" t="str">
        <x:v>Standard</x:v>
      </x:c>
      <x:c r="E17" s="39" t="str">
        <x:v>no</x:v>
      </x:c>
      <x:c r="F17" s="39" t="str">
        <x:v>Termin realizacji do potwierdzenia (około 7 dni)</x:v>
      </x:c>
      <x:c r="G17" s="53" t="str">
        <x:v>BEZ ZMIAN</x:v>
      </x:c>
    </x:row>
    <x:row r="18">
      <x:c r="A18" s="45" t="str">
        <x:v>82175</x:v>
      </x:c>
      <x:c r="B18" s="45" t="str">
        <x:v>001709/KOB</x:v>
      </x:c>
      <x:c r="C18" s="39" t="str">
        <x:v>Oprawa LED HIGH BAY NINA 100W 16000lm 4000K neutralna IP65 Kobi KFNA10114</x:v>
      </x:c>
      <x:c r="D18" s="39" t="str">
        <x:v>Standard</x:v>
      </x:c>
      <x:c r="E18" s="39" t="str">
        <x:v>no</x:v>
      </x:c>
      <x:c r="F18" s="39" t="str">
        <x:v>Niedostępne|Termin realizacji do potwierdzenia (około 7 dni)</x:v>
      </x:c>
      <x:c r="G18" s="53" t="str">
        <x:v>BEZ ZMIAN</x:v>
      </x:c>
    </x:row>
    <x:row r="19">
      <x:c r="A19" s="45" t="str">
        <x:v>82176</x:v>
      </x:c>
      <x:c r="B19" s="45" t="str">
        <x:v>001711/KOB</x:v>
      </x:c>
      <x:c r="C19" s="39" t="str">
        <x:v>Oprawa LED HIGH BAY NINA 150W 24000lm 4000K neutralna IP65 Kobi KFNA15114</x:v>
      </x:c>
      <x:c r="D19" s="39" t="str">
        <x:v>Standard</x:v>
      </x:c>
      <x:c r="E19" s="39" t="str">
        <x:v>no</x:v>
      </x:c>
      <x:c r="F19" s="39" t="str">
        <x:v>Niedostępne|Termin realizacji do potwierdzenia (około 7 dni)</x:v>
      </x:c>
      <x:c r="G19" s="53" t="str">
        <x:v>BEZ ZMIAN</x:v>
      </x:c>
    </x:row>
    <x:row r="20">
      <x:c r="A20" s="45" t="str">
        <x:v>82177</x:v>
      </x:c>
      <x:c r="B20" s="45" t="str">
        <x:v>001713/KOB</x:v>
      </x:c>
      <x:c r="C20" s="39" t="str">
        <x:v>Oprawa LED HIGH BAY NINA 200W 32000lm 4000K neutralna IP65 Kobi KFNA20114</x:v>
      </x:c>
      <x:c r="D20" s="39" t="str">
        <x:v>Standard</x:v>
      </x:c>
      <x:c r="E20" s="39" t="str">
        <x:v>no</x:v>
      </x:c>
      <x:c r="F20" s="39" t="str">
        <x:v>Niedostępne|Termin realizacji do potwierdzenia (około 7 dni)</x:v>
      </x:c>
      <x:c r="G20" s="53" t="str">
        <x:v>BEZ ZMIAN</x:v>
      </x:c>
    </x:row>
    <x:row r="21">
      <x:c r="A21" s="45" t="str">
        <x:v>83856</x:v>
      </x:c>
      <x:c r="B21" s="45" t="str">
        <x:v>001635/KOB</x:v>
      </x:c>
      <x:c r="C21" s="39" t="str">
        <x:v>Naświetlacz SOLARNY LED NCS 10W 6500K zimny LED2B Kobi KFLNCS10ZB</x:v>
      </x:c>
      <x:c r="D21" s="39" t="str">
        <x:v>Standard</x:v>
      </x:c>
      <x:c r="E21" s="39" t="str">
        <x:v>no</x:v>
      </x:c>
      <x:c r="F21" s="39" t="str">
        <x:v>Niedostępne|Termin realizacji do potwierdzenia (około 7 dni)</x:v>
      </x:c>
      <x:c r="G21" s="53" t="str">
        <x:v>BEZ ZMIAN</x:v>
      </x:c>
    </x:row>
    <x:row r="22">
      <x:c r="A22" s="45" t="str">
        <x:v>83857</x:v>
      </x:c>
      <x:c r="B22" s="45" t="str">
        <x:v>001636/KOB</x:v>
      </x:c>
      <x:c r="C22" s="39" t="str">
        <x:v>Naświetlacz SOLARNY LED NCS 20W 6500K zimny LED2B Kobi KFLNCS20ZB</x:v>
      </x:c>
      <x:c r="D22" s="39" t="str">
        <x:v>Standard</x:v>
      </x:c>
      <x:c r="E22" s="39" t="str">
        <x:v>no</x:v>
      </x:c>
      <x:c r="F22" s="39" t="str">
        <x:v>Termin realizacji do potwierdzenia (około 7 dni)</x:v>
      </x:c>
      <x:c r="G22" s="53" t="str">
        <x:v>BEZ ZMIAN</x:v>
      </x:c>
    </x:row>
    <x:row r="23">
      <x:c r="A23" s="45" t="str">
        <x:v>86192</x:v>
      </x:c>
      <x:c r="B23" s="45" t="str">
        <x:v>002095/KOB</x:v>
      </x:c>
      <x:c r="C23" s="39" t="str">
        <x:v>Oprawa tuba ruchoma do nadbudowania OH36S biała KPOH36SBI</x:v>
      </x:c>
      <x:c r="D23" s="39" t="str">
        <x:v>Standard</x:v>
      </x:c>
      <x:c r="E23" s="39" t="str">
        <x:v>notify</x:v>
      </x:c>
      <x:c r="F23" s="39" t="str">
        <x:v>Termin realizacji do potwierdzenia (około 7 dni)</x:v>
      </x:c>
      <x:c r="G23" s="53" t="str">
        <x:v>BEZ ZMIAN</x:v>
      </x:c>
    </x:row>
    <x:row r="24">
      <x:c r="A24" s="45" t="str">
        <x:v>99579</x:v>
      </x:c>
      <x:c r="B24" s="45" t="str">
        <x:v>002223/KOB</x:v>
      </x:c>
      <x:c r="C24" s="39" t="str">
        <x:v>Oprawa ogrodowa kinkiet elewacyjny ENTERA 10W 4000K IP54 KTEACZ</x:v>
      </x:c>
      <x:c r="D24" s="39" t="str">
        <x:v>Standard</x:v>
      </x:c>
      <x:c r="E24" s="39" t="str">
        <x:v>no</x:v>
      </x:c>
      <x:c r="F24" s="39" t="str">
        <x:v>Termin realizacji do potwierdzenia (około 7 dni)</x:v>
      </x:c>
      <x:c r="G24" s="53" t="str">
        <x:v>BEZ ZMIAN</x:v>
      </x:c>
    </x:row>
    <x:row r="25">
      <x:c r="A25" s="45" t="str">
        <x:v>99580</x:v>
      </x:c>
      <x:c r="B25" s="45" t="str">
        <x:v>002224/KOB</x:v>
      </x:c>
      <x:c r="C25" s="39" t="str">
        <x:v>Oprawa ogrodowa kinkiet elewacyjny ENTERA P 10W 4000K IP54 KOBI KTEAPCZ</x:v>
      </x:c>
      <x:c r="D25" s="39" t="str">
        <x:v>Standard</x:v>
      </x:c>
      <x:c r="E25" s="39" t="str">
        <x:v>no</x:v>
      </x:c>
      <x:c r="F25" s="39" t="str">
        <x:v>Termin realizacji do potwierdzenia (około 7 dni)</x:v>
      </x:c>
      <x:c r="G25" s="53" t="str">
        <x:v>BEZ ZMIAN</x:v>
      </x:c>
    </x:row>
    <x:row r="26">
      <x:c r="A26" s="45" t="str">
        <x:v>100654</x:v>
      </x:c>
      <x:c r="B26" s="45" t="str">
        <x:v>001881/KOB</x:v>
      </x:c>
      <x:c r="C26" s="39" t="str">
        <x:v>Oprawa uliczna LED VESPA PRO 40W 4000K neutralna 5600 lm KOBI KFVP40NBAS</x:v>
      </x:c>
      <x:c r="D26" s="39" t="str">
        <x:v>Standard</x:v>
      </x:c>
      <x:c r="E26" s="39" t="str">
        <x:v>notify</x:v>
      </x:c>
      <x:c r="F26" s="39" t="str">
        <x:v>Termin realizacji do potwierdzenia (około 3 dni)|Termin realizacji do potwierdzenia (około 7 dni)</x:v>
      </x:c>
      <x:c r="G26" s="53" t="str">
        <x:v>BEZ ZMIAN</x:v>
      </x:c>
    </x:row>
    <x:row r="27">
      <x:c r="A27" s="45" t="str">
        <x:v>100655</x:v>
      </x:c>
      <x:c r="B27" s="45" t="str">
        <x:v>001882/KOB</x:v>
      </x:c>
      <x:c r="C27" s="39" t="str">
        <x:v>Oprawa uliczna LED VESPA PRO 60W 4000K neutralna 8400lm KOBI KFVP60NBAS</x:v>
      </x:c>
      <x:c r="D27" s="39" t="str">
        <x:v>Standard</x:v>
      </x:c>
      <x:c r="E27" s="39" t="str">
        <x:v>notify</x:v>
      </x:c>
      <x:c r="F27" s="39" t="str">
        <x:v>Termin realizacji do potwierdzenia (około 3 dni)|Termin realizacji do potwierdzenia (około 7 dni)</x:v>
      </x:c>
      <x:c r="G27" s="53" t="str">
        <x:v>BEZ ZMIAN</x:v>
      </x:c>
    </x:row>
    <x:row r="28">
      <x:c r="A28" s="45" t="str">
        <x:v>100656</x:v>
      </x:c>
      <x:c r="B28" s="45" t="str">
        <x:v>001876/KOB</x:v>
      </x:c>
      <x:c r="C28" s="39" t="str">
        <x:v>Oprawa uliczna LED VESPA PRO 100W 4000K neutralna 14000lm KOBI KFVP100NBAS</x:v>
      </x:c>
      <x:c r="D28" s="39" t="str">
        <x:v>Standard</x:v>
      </x:c>
      <x:c r="E28" s="39" t="str">
        <x:v>notify</x:v>
      </x:c>
      <x:c r="F28" s="39" t="str">
        <x:v>Termin realizacji do potwierdzenia (około 3 dni)|Termin realizacji do potwierdzenia (około 7 dni)</x:v>
      </x:c>
      <x:c r="G28" s="53" t="str">
        <x:v>BEZ ZMIAN</x:v>
      </x:c>
    </x:row>
    <x:row r="29">
      <x:c r="A29" s="45" t="str">
        <x:v>100657</x:v>
      </x:c>
      <x:c r="B29" s="45" t="str">
        <x:v>001877/KOB</x:v>
      </x:c>
      <x:c r="C29" s="39" t="str">
        <x:v>Oprawa uliczna LED VESPA PRO 150 W 4000K neutralna 20250lm KOBI KFVP150NBAS</x:v>
      </x:c>
      <x:c r="D29" s="39" t="str">
        <x:v>Standard</x:v>
      </x:c>
      <x:c r="E29" s="39" t="str">
        <x:v>notify</x:v>
      </x:c>
      <x:c r="F29" s="39" t="str">
        <x:v>Termin realizacji do potwierdzenia (około 7 dni)</x:v>
      </x:c>
      <x:c r="G29" s="53" t="str">
        <x:v>BEZ ZMIAN</x:v>
      </x:c>
    </x:row>
    <x:row r="30">
      <x:c r="A30" s="45" t="str">
        <x:v>102385</x:v>
      </x:c>
      <x:c r="B30" s="45" t="str">
        <x:v>001809/KOB</x:v>
      </x:c>
      <x:c r="C30" s="39" t="str">
        <x:v>Naświetlacz LED z czujnikiem ruchu i panelem solarnym 30W 4000K b. neutralna 4800lm IP65 Kobi KFNSC30NB KFNSCS30NB</x:v>
      </x:c>
      <x:c r="D30" s="39" t="str">
        <x:v>Standard</x:v>
      </x:c>
      <x:c r="E30" s="39" t="str">
        <x:v>no</x:v>
      </x:c>
      <x:c r="F30" s="39" t="str">
        <x:v>Termin realizacji do potwierdzenia (około 7 dni)</x:v>
      </x:c>
      <x:c r="G30" s="53" t="str">
        <x:v>BEZ ZMIAN</x:v>
      </x:c>
    </x:row>
    <x:row r="31">
      <x:c r="A31" s="45" t="str">
        <x:v>114149</x:v>
      </x:c>
      <x:c r="B31" s="45" t="str">
        <x:v>001814/KOB</x:v>
      </x:c>
      <x:c r="C31" s="39" t="str">
        <x:v>Naświetlacz Solarny LED MHCS 10W PREMIUM barwa neutralna KOBI KFNSR10NB</x:v>
      </x:c>
      <x:c r="D31" s="39" t="str">
        <x:v>Standard</x:v>
      </x:c>
      <x:c r="E31" s="39" t="str">
        <x:v>notify</x:v>
      </x:c>
      <x:c r="F31" s="39" t="str">
        <x:v>Termin realizacji do potwierdzenia (około 7 dni)</x:v>
      </x:c>
      <x:c r="G31" s="53" t="str">
        <x:v>BEZ ZMIAN</x:v>
      </x:c>
    </x:row>
    <x:row r="32">
      <x:c r="A32" s="45" t="str">
        <x:v>125826</x:v>
      </x:c>
      <x:c r="B32" s="45" t="str">
        <x:v>002243/KOB</x:v>
      </x:c>
      <x:c r="C32" s="39" t="str">
        <x:v>Oprawa najazdowa kwadratowa GU10 IP67 INGRESS SQUARE CHROM KTLIOSE</x:v>
      </x:c>
      <x:c r="D32" s="39" t="str">
        <x:v>Standard</x:v>
      </x:c>
      <x:c r="E32" s="39" t="str">
        <x:v>no</x:v>
      </x:c>
      <x:c r="F32" s="39" t="str">
        <x:v>Termin realizacji do potwierdzenia (około 7 dni)</x:v>
      </x:c>
      <x:c r="G32" s="53" t="str">
        <x:v>BEZ ZMIAN</x:v>
      </x:c>
    </x:row>
    <x:row r="33">
      <x:c r="A33" s="45" t="str">
        <x:v>134785</x:v>
      </x:c>
      <x:c r="B33" s="45" t="str">
        <x:v>001623/KOB</x:v>
      </x:c>
      <x:c r="C33" s="39" t="str">
        <x:v>Oprawa belka LED 40W 4000K 4800lm 120cm KOLINE K1 professional line Kobi KFKE40WNBCZ</x:v>
      </x:c>
      <x:c r="D33" s="39" t="str">
        <x:v>Długie</x:v>
      </x:c>
      <x:c r="E33" s="39" t="str">
        <x:v>notify</x:v>
      </x:c>
      <x:c r="F33" s="39" t="str">
        <x:v>Termin realizacji do potwierdzenia (około 3 dni)|Termin realizacji do potwierdzenia (około 7 dni)</x:v>
      </x:c>
      <x:c r="G33" s="53" t="str">
        <x:v>BEZ ZMIAN</x:v>
      </x:c>
    </x:row>
    <x:row r="34">
      <x:c r="A34" s="45" t="str">
        <x:v>134796</x:v>
      </x:c>
      <x:c r="B34" s="45" t="str">
        <x:v>001620/KOB</x:v>
      </x:c>
      <x:c r="C34" s="39" t="str">
        <x:v>Oprawa belka LED 40W 4000K 5200lm 120cm KOLINE K1 biała professional line Kobi KFKE40WNBBI</x:v>
      </x:c>
      <x:c r="D34" s="39" t="str">
        <x:v>Długie</x:v>
      </x:c>
      <x:c r="E34" s="39" t="str">
        <x:v>notify</x:v>
      </x:c>
      <x:c r="F34" s="39" t="str">
        <x:v>Termin realizacji do potwierdzenia (około 3 dni)|Termin realizacji do potwierdzenia (około 7 dni)</x:v>
      </x:c>
      <x:c r="G34" s="53" t="str">
        <x:v>BEZ ZMIAN</x:v>
      </x:c>
    </x:row>
    <x:row r="35">
      <x:c r="A35" s="45" t="str">
        <x:v>134805</x:v>
      </x:c>
      <x:c r="B35" s="45" t="str">
        <x:v>001840/KOB</x:v>
      </x:c>
      <x:c r="C35" s="39" t="str">
        <x:v>Oprawa przemysłowa HIGH BAY LED 100W 4000K 14000lm RIO PRO Kobi KFRP100NB</x:v>
      </x:c>
      <x:c r="D35" s="39" t="str">
        <x:v>Standard</x:v>
      </x:c>
      <x:c r="E35" s="39" t="str">
        <x:v>no</x:v>
      </x:c>
      <x:c r="F35" s="39" t="str">
        <x:v>Niedostępne</x:v>
      </x:c>
      <x:c r="G35" s="53" t="str">
        <x:v>BEZ ZMIAN</x:v>
      </x:c>
    </x:row>
    <x:row r="36">
      <x:c r="A36" s="45" t="str">
        <x:v>134836</x:v>
      </x:c>
      <x:c r="B36" s="45" t="str">
        <x:v>001841/KOB</x:v>
      </x:c>
      <x:c r="C36" s="39" t="str">
        <x:v>Oprawa przemysłowa LED HIGH BAY 150W 4000K 21000lm RIO PRO Kobi KFRP150NB</x:v>
      </x:c>
      <x:c r="D36" s="39" t="str">
        <x:v>Standard</x:v>
      </x:c>
      <x:c r="E36" s="39" t="str">
        <x:v>no</x:v>
      </x:c>
      <x:c r="F36" s="39" t="str">
        <x:v>Niedostępne</x:v>
      </x:c>
      <x:c r="G36" s="53" t="str">
        <x:v>BEZ ZMIAN</x:v>
      </x:c>
    </x:row>
    <x:row r="37">
      <x:c r="A37" s="45" t="str">
        <x:v>134854</x:v>
      </x:c>
      <x:c r="B37" s="45" t="str">
        <x:v>001843/KOB</x:v>
      </x:c>
      <x:c r="C37" s="39" t="str">
        <x:v>Oprawa przemysłowa LED HIGH BAY 200W 4000K 28000lm RIO PRO Kobi KFRP200NB</x:v>
      </x:c>
      <x:c r="D37" s="39" t="str">
        <x:v>Standard</x:v>
      </x:c>
      <x:c r="E37" s="39" t="str">
        <x:v>no</x:v>
      </x:c>
      <x:c r="F37" s="39" t="str">
        <x:v>Niedostępne</x:v>
      </x:c>
      <x:c r="G37" s="53" t="str">
        <x:v>BEZ ZMIAN</x:v>
      </x:c>
    </x:row>
    <x:row r="38">
      <x:c r="A38" s="45" t="str">
        <x:v>142490</x:v>
      </x:c>
      <x:c r="B38" s="45" t="str">
        <x:v>001431/KOB</x:v>
      </x:c>
      <x:c r="C38" s="39" t="str">
        <x:v>Latarka LED mini X-MPR MICRO IP44 370+280lm 500mAh 7 trybów Kobi 001431</x:v>
      </x:c>
      <x:c r="D38" s="39" t="str">
        <x:v>Standard</x:v>
      </x:c>
      <x:c r="E38" s="39" t="str">
        <x:v>notify</x:v>
      </x:c>
      <x:c r="F38" s="39" t="str">
        <x:v>Termin realizacji do potwierdzenia (około 7 dni)</x:v>
      </x:c>
      <x:c r="G38" s="53" t="str">
        <x:v>BEZ ZMIAN</x:v>
      </x:c>
    </x:row>
    <x:row r="39">
      <x:c r="A39" s="45" t="str">
        <x:v>142500</x:v>
      </x:c>
      <x:c r="B39" s="45" t="str">
        <x:v>001435/KOB</x:v>
      </x:c>
      <x:c r="C39" s="39" t="str">
        <x:v>Girlanda świetlna dekoracyjna 7,74m 10 kul 2500K LED VENEZIA Kobi 001435</x:v>
      </x:c>
      <x:c r="D39" s="39" t="str">
        <x:v>Standard</x:v>
      </x:c>
      <x:c r="E39" s="39" t="str">
        <x:v>notify</x:v>
      </x:c>
      <x:c r="F39" s="39" t="str">
        <x:v>Termin realizacji do potwierdzenia (około 7 dni)</x:v>
      </x:c>
      <x:c r="G39" s="53" t="str">
        <x:v>BEZ ZMIAN</x:v>
      </x:c>
    </x:row>
    <x:row r="40">
      <x:c r="A40" s="45" t="str">
        <x:v>142506</x:v>
      </x:c>
      <x:c r="B40" s="45" t="str">
        <x:v>003671/KOB</x:v>
      </x:c>
      <x:c r="C40" s="39" t="str">
        <x:v>Oprawa hermetyczna LED CORTEZ 18W 2160lm 4000K 62,5cm IP65 Kobi 003671</x:v>
      </x:c>
      <x:c r="D40" s="39" t="str">
        <x:v>Długie</x:v>
      </x:c>
      <x:c r="E40" s="39" t="str">
        <x:v>notify</x:v>
      </x:c>
      <x:c r="F40" s="39" t="str">
        <x:v>Termin realizacji do potwierdzenia (około 3 dni)|Termin realizacji do potwierdzenia (około 7 dni)</x:v>
      </x:c>
      <x:c r="G40" s="53" t="str">
        <x:v>BEZ ZMIAN</x:v>
      </x:c>
    </x:row>
    <x:row r="41">
      <x:c r="A41" s="45" t="str">
        <x:v>142510</x:v>
      </x:c>
      <x:c r="B41" s="45" t="str">
        <x:v>003672/KOB</x:v>
      </x:c>
      <x:c r="C41" s="39" t="str">
        <x:v>Oprawa hermetyczna LED CORTEZ 36W 4320lm 4000K 122,5cm IP65 Kobi 003672</x:v>
      </x:c>
      <x:c r="D41" s="39" t="str">
        <x:v>Długie</x:v>
      </x:c>
      <x:c r="E41" s="39" t="str">
        <x:v>notify</x:v>
      </x:c>
      <x:c r="F41" s="39" t="str">
        <x:v>Termin realizacji do potwierdzenia (około 3 dni)|Termin realizacji do potwierdzenia (około 7 dni)</x:v>
      </x:c>
      <x:c r="G41" s="53" t="str">
        <x:v>BEZ ZMIAN</x:v>
      </x:c>
    </x:row>
    <x:row r="42">
      <x:c r="A42" s="45" t="str">
        <x:v>142515</x:v>
      </x:c>
      <x:c r="B42" s="45" t="str">
        <x:v>003673/KOB</x:v>
      </x:c>
      <x:c r="C42" s="39" t="str">
        <x:v>Oprawa hermetyczna LED CORTEZ 48W 5760lm 4000K 152,5cm IP65 Kobi 003673</x:v>
      </x:c>
      <x:c r="D42" s="39" t="str">
        <x:v>Długie</x:v>
      </x:c>
      <x:c r="E42" s="39" t="str">
        <x:v>notify</x:v>
      </x:c>
      <x:c r="F42" s="39" t="str">
        <x:v>Termin realizacji do potwierdzenia (około 3 dni)|Termin realizacji do potwierdzenia (około 7 dni)</x:v>
      </x:c>
      <x:c r="G42" s="53" t="str">
        <x:v>BEZ ZMIAN</x:v>
      </x:c>
    </x:row>
    <x:row r="43">
      <x:c r="A43" s="45" t="str">
        <x:v>142524</x:v>
      </x:c>
      <x:c r="B43" s="45" t="str">
        <x:v>001580/KOB</x:v>
      </x:c>
      <x:c r="C43" s="39" t="str">
        <x:v>Lampa uliczna z czujnikiem zmierzchu LED CYOTO 100W 4000K 10000lm IP65 Kobi Premium 001580</x:v>
      </x:c>
      <x:c r="D43" s="39" t="str">
        <x:v>Standard</x:v>
      </x:c>
      <x:c r="E43" s="39" t="str">
        <x:v>notify</x:v>
      </x:c>
      <x:c r="F43" s="39" t="str">
        <x:v>Termin realizacji do potwierdzenia (około 3 dni)|Termin realizacji do potwierdzenia (około 7 dni)</x:v>
      </x:c>
      <x:c r="G43" s="53" t="str">
        <x:v>BEZ ZMIAN</x:v>
      </x:c>
    </x:row>
    <x:row r="44">
      <x:c r="A44" s="45" t="str">
        <x:v>142528</x:v>
      </x:c>
      <x:c r="B44" s="45" t="str">
        <x:v>001581/KOB</x:v>
      </x:c>
      <x:c r="C44" s="39" t="str">
        <x:v>Lampa uliczna z czujnikiem zmierzchu LED CYOTO 50W 4000K 5000lm IP65 Kobi Premium 001581</x:v>
      </x:c>
      <x:c r="D44" s="39" t="str">
        <x:v>Standard</x:v>
      </x:c>
      <x:c r="E44" s="39" t="str">
        <x:v>notify</x:v>
      </x:c>
      <x:c r="F44" s="39" t="str">
        <x:v>Termin realizacji do potwierdzenia (około 3 dni)|Termin realizacji do potwierdzenia (około 7 dni)</x:v>
      </x:c>
      <x:c r="G44" s="53" t="str">
        <x:v>BEZ ZMIAN</x:v>
      </x:c>
    </x:row>
    <x:row r="45">
      <x:c r="A45" s="45" t="str">
        <x:v>142532</x:v>
      </x:c>
      <x:c r="B45" s="45" t="str">
        <x:v>001694/KOB</x:v>
      </x:c>
      <x:c r="C45" s="39" t="str">
        <x:v>Plafon LED NAIROS G2 12W 1260lm zmienna barwa 3CCT IP65 biały Kobi Premium 001694</x:v>
      </x:c>
      <x:c r="D45" s="39" t="str">
        <x:v>Standard</x:v>
      </x:c>
      <x:c r="E45" s="39" t="str">
        <x:v>notify</x:v>
      </x:c>
      <x:c r="F45" s="39" t="str">
        <x:v>Termin realizacji do potwierdzenia (około 7 dni)</x:v>
      </x:c>
      <x:c r="G45" s="53" t="str">
        <x:v>BEZ ZMIAN</x:v>
      </x:c>
    </x:row>
    <x:row r="46">
      <x:c r="A46" s="45" t="str">
        <x:v>142535</x:v>
      </x:c>
      <x:c r="B46" s="45" t="str">
        <x:v>001695/KOB</x:v>
      </x:c>
      <x:c r="C46" s="39" t="str">
        <x:v>Plafon LED NAIROS G2 12W 1140lm zmienna barwa 3CCT IP65 czarny Kobi Premium 001695</x:v>
      </x:c>
      <x:c r="D46" s="39" t="str">
        <x:v>Standard</x:v>
      </x:c>
      <x:c r="E46" s="39" t="str">
        <x:v>notify</x:v>
      </x:c>
      <x:c r="F46" s="39" t="str">
        <x:v>Termin realizacji do potwierdzenia (około 7 dni)</x:v>
      </x:c>
      <x:c r="G46" s="53" t="str">
        <x:v>BEZ ZMIAN</x:v>
      </x:c>
    </x:row>
    <x:row r="47">
      <x:c r="A47" s="45" t="str">
        <x:v>142539</x:v>
      </x:c>
      <x:c r="B47" s="45" t="str">
        <x:v>001701/KOB</x:v>
      </x:c>
      <x:c r="C47" s="39" t="str">
        <x:v>Plafon LED z czujnikiem ruchu NAIROS G2 12W 1260lm zmienna barwa 3CCT IP65 biały Kobi Premium 001701</x:v>
      </x:c>
      <x:c r="D47" s="39" t="str">
        <x:v>Standard</x:v>
      </x:c>
      <x:c r="E47" s="39" t="str">
        <x:v>notify</x:v>
      </x:c>
      <x:c r="F47" s="39" t="str">
        <x:v>Termin realizacji do potwierdzenia (około 7 dni)</x:v>
      </x:c>
      <x:c r="G47" s="53" t="str">
        <x:v>BEZ ZMIAN</x:v>
      </x:c>
    </x:row>
    <x:row r="48">
      <x:c r="A48" s="45" t="str">
        <x:v>142544</x:v>
      </x:c>
      <x:c r="B48" s="45" t="str">
        <x:v>001696/KOB</x:v>
      </x:c>
      <x:c r="C48" s="39" t="str">
        <x:v>Plafon LED NAIROS G2 18W 1890lm zmienna barwa 3CCT IP65 biały Kobi Premium 001696</x:v>
      </x:c>
      <x:c r="D48" s="39" t="str">
        <x:v>Standard</x:v>
      </x:c>
      <x:c r="E48" s="39" t="str">
        <x:v>notify</x:v>
      </x:c>
      <x:c r="F48" s="39" t="str">
        <x:v>Termin realizacji do potwierdzenia (około 7 dni)</x:v>
      </x:c>
      <x:c r="G48" s="53" t="str">
        <x:v>BEZ ZMIAN</x:v>
      </x:c>
    </x:row>
    <x:row r="49">
      <x:c r="A49" s="45" t="str">
        <x:v>142547</x:v>
      </x:c>
      <x:c r="B49" s="45" t="str">
        <x:v>001703/KOB</x:v>
      </x:c>
      <x:c r="C49" s="39" t="str">
        <x:v>Plafon LED z czujnikiem ruchu NAIROS G2 18W 1890lm zmienna barwa 3CCT IP65 biały Kobi Premium 001703</x:v>
      </x:c>
      <x:c r="D49" s="39" t="str">
        <x:v>Standard</x:v>
      </x:c>
      <x:c r="E49" s="39" t="str">
        <x:v>notify</x:v>
      </x:c>
      <x:c r="F49" s="39" t="str">
        <x:v>Termin realizacji do potwierdzenia (około 7 dni)</x:v>
      </x:c>
      <x:c r="G49" s="53" t="str">
        <x:v>BEZ ZMIAN</x:v>
      </x:c>
    </x:row>
    <x:row r="50">
      <x:c r="A50" s="45" t="str">
        <x:v>142574</x:v>
      </x:c>
      <x:c r="B50" s="45" t="str">
        <x:v>001726/KOB</x:v>
      </x:c>
      <x:c r="C50" s="39" t="str">
        <x:v>Oprawa hermetyczna liniowa LED NEXFORCE N2 120 cm 36W 6300lm 4000K neutralna IP66 Kobi 001726</x:v>
      </x:c>
      <x:c r="D50" s="39" t="str">
        <x:v>Długie</x:v>
      </x:c>
      <x:c r="E50" s="39" t="str">
        <x:v>notify</x:v>
      </x:c>
      <x:c r="F50" s="39" t="str">
        <x:v>Termin realizacji do potwierdzenia (około 3 dni)|Termin realizacji do potwierdzenia (około 7 dni)</x:v>
      </x:c>
      <x:c r="G50" s="53" t="str">
        <x:v>BEZ ZMIAN</x:v>
      </x:c>
    </x:row>
    <x:row r="51">
      <x:c r="A51" s="45" t="str">
        <x:v>142581</x:v>
      </x:c>
      <x:c r="B51" s="45" t="str">
        <x:v>001727/KOB</x:v>
      </x:c>
      <x:c r="C51" s="39" t="str">
        <x:v>Oprawa hermetyczna liniowa LED NEXFORCE N2 150cm 52W 9000lm 4000K neutralna IP66 Kobi 001727</x:v>
      </x:c>
      <x:c r="D51" s="39" t="str">
        <x:v>Długie</x:v>
      </x:c>
      <x:c r="E51" s="39" t="str">
        <x:v>notify</x:v>
      </x:c>
      <x:c r="F51" s="39" t="str">
        <x:v>Termin realizacji do potwierdzenia (około 3 dni)|Termin realizacji do potwierdzenia (około 7 dni)</x:v>
      </x:c>
      <x:c r="G51" s="53" t="str">
        <x:v>BEZ ZMIAN</x:v>
      </x:c>
    </x:row>
    <x:row r="52">
      <x:c r="A52" s="45" t="str">
        <x:v>143665</x:v>
      </x:c>
      <x:c r="B52" s="45" t="str">
        <x:v>001820/KOB</x:v>
      </x:c>
      <x:c r="C52" s="39" t="str">
        <x:v>Lampa uliczna z czujnikiem ruchu solarna 30W 3000/4000K 4800lm 2CCT IP65 Kobi Premium 001820</x:v>
      </x:c>
      <x:c r="D52" s="39" t="str">
        <x:v>Standard</x:v>
      </x:c>
      <x:c r="E52" s="39" t="str">
        <x:v>notify</x:v>
      </x:c>
      <x:c r="F52" s="39" t="str">
        <x:v>Termin realizacji do potwierdzenia (około 3 dni)|Termin realizacji do potwierdzenia (około 7 dni)</x:v>
      </x:c>
      <x:c r="G52" s="53" t="str">
        <x:v>BEZ ZMIAN</x:v>
      </x:c>
    </x:row>
    <x:row r="53">
      <x:c r="A53" s="45" t="str">
        <x:v>144556</x:v>
      </x:c>
      <x:c r="B53" s="45" t="str">
        <x:v>001807/KOB</x:v>
      </x:c>
      <x:c r="C53" s="39" t="str">
        <x:v>Naświetlacz solarny LED z czujnikiem ruchu HALOGEN MHC 5W 4000K 500lm KOBI 001807</x:v>
      </x:c>
      <x:c r="D53" s="39" t="str">
        <x:v>Standard</x:v>
      </x:c>
      <x:c r="E53" s="39" t="str">
        <x:v>notify</x:v>
      </x:c>
      <x:c r="F53" s="39" t="str">
        <x:v>Termin realizacji do potwierdzenia (około 7 dni)</x:v>
      </x:c>
      <x:c r="G53" s="53" t="str">
        <x:v>BEZ ZMIAN</x:v>
      </x:c>
    </x:row>
    <x:row r="54">
      <x:c r="A54" s="45" t="str">
        <x:v>145163</x:v>
      </x:c>
      <x:c r="B54" s="45" t="str">
        <x:v>001783/KOB</x:v>
      </x:c>
      <x:c r="C54" s="39" t="str">
        <x:v>Ramka montażowa do panelu LED 60X60 63MM klik Kobi 001783</x:v>
      </x:c>
      <x:c r="D54" s="39" t="str">
        <x:v>Standard</x:v>
      </x:c>
      <x:c r="E54" s="39" t="str">
        <x:v>notify</x:v>
      </x:c>
      <x:c r="F54" s="39" t="str">
        <x:v>Termin realizacji do potwierdzenia (około 7 dni)</x:v>
      </x:c>
      <x:c r="G54" s="53" t="str">
        <x:v>BEZ ZMIAN</x:v>
      </x:c>
    </x:row>
    <x:row r="55">
      <x:c r="A55" s="45" t="str">
        <x:v>146795</x:v>
      </x:c>
      <x:c r="B55" s="45" t="str">
        <x:v>001866/KOB</x:v>
      </x:c>
      <x:c r="C55" s="39" t="str">
        <x:v>Naświetlacz LED US 300W 5000K IP65 60ST DIM Kobi Pro 001866</x:v>
      </x:c>
      <x:c r="D55" s="39" t="str">
        <x:v>Standard</x:v>
      </x:c>
      <x:c r="E55" s="39" t="str">
        <x:v>notify</x:v>
      </x:c>
      <x:c r="F55" s="39" t="str">
        <x:v>Termin realizacji do potwierdzenia (około 7 dni)</x:v>
      </x:c>
      <x:c r="G55" s="53" t="str">
        <x:v>BEZ ZMIAN</x:v>
      </x:c>
    </x:row>
    <x:row r="56">
      <x:c r="A56" s="46" t="str">
        <x:v>157177</x:v>
      </x:c>
      <x:c r="B56" s="46" t="str">
        <x:v>001792/KOB</x:v>
      </x:c>
      <x:c r="C56" s="40" t="str">
        <x:v>Oprawa hermetyczna liniowa LED NEGRO 36W 6000K Kobi Premium 001792</x:v>
      </x:c>
      <x:c r="D56" s="40" t="str">
        <x:v>Długie</x:v>
      </x:c>
      <x:c r="E56" s="40" t="str">
        <x:v>no</x:v>
      </x:c>
      <x:c r="F56" s="40" t="str">
        <x:v>Niedostępne</x:v>
      </x:c>
      <x:c r="G56" s="55" t="str">
        <x:v>BEZ ZMIAN</x:v>
      </x:c>
    </x:row>
  </x:sheetData>
  <x:conditionalFormatting sqref="G2:G56">
    <x:cfRule type="expression" dxfId="18" priority="1">
      <x:formula>G2="KOMPLET"</x:formula>
    </x:cfRule>
    <x:cfRule type="expression" dxfId="19" priority="2">
      <x:formula>G2="OK"</x:formula>
    </x:cfRule>
    <x:cfRule type="expression" dxfId="20" priority="3">
      <x:formula>G2="BEZ ZMIAN"</x:formula>
    </x:cfRule>
    <x:cfRule type="expression" dxfId="21" priority="4">
      <x:formula>G2="WARNING"</x:formula>
    </x:cfRule>
    <x:cfRule type="expression" dxfId="22" priority="5">
      <x:formula>G2="DO_SPRAWDZENIA"</x:formula>
    </x:cfRule>
    <x:cfRule type="expression" dxfId="23" priority="6">
      <x:formula>G2="NIE_DOTYCZY"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c0e4e52212343fb"/>
  </x:tableParts>
</x:worksheet>
</file>