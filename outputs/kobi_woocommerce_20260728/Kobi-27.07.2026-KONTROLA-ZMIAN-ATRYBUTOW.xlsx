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8ea017294947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dsumowanie" sheetId="1" r:id="R01fee6eac7a74284"/>
    <x:sheet xmlns:r="http://schemas.openxmlformats.org/officeDocument/2006/relationships" name="Zmiany" sheetId="2" r:id="R6a258134ffb745b7"/>
    <x:sheet xmlns:r="http://schemas.openxmlformats.org/officeDocument/2006/relationships" name="Produkty" sheetId="3" r:id="Rb323ebb11d024580"/>
    <x:sheet xmlns:r="http://schemas.openxmlformats.org/officeDocument/2006/relationships" name="Bez dopasowania XML" sheetId="4" r:id="R1c7cc1e3b57646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@"/>
    <x:numFmt numFmtId="202" formatCode="0%"/>
    <x:numFmt numFmtId="203" formatCode="000000"/>
  </x:numFmts>
  <x:fonts count="6">
    <x:font>
      <x:sz val="11"/>
      <x:name val="Carlito"/>
    </x:font>
    <x:font>
      <x:b/>
      <x:sz val="11"/>
      <x:color rgb="FFFFFFFF"/>
      <x:name val="Carlito"/>
    </x:font>
    <x:font>
      <x:i/>
      <x:sz val="11"/>
      <x:color rgb="FF244A57"/>
      <x:name val="Carlito"/>
    </x:font>
    <x:font>
      <x:b/>
      <x:sz val="11"/>
      <x:color rgb="FF244A57"/>
      <x:name val="Carlito"/>
    </x:font>
    <x:font>
      <x:b/>
      <x:sz val="11"/>
      <x:color rgb="FF123B4A"/>
      <x:name val="Carlito"/>
    </x:font>
    <x:font>
      <x:i/>
      <x:sz val="11"/>
      <x:color rgb="FF8A5A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B4A"/>
      </x:patternFill>
    </x:fill>
    <x:fill>
      <x:patternFill patternType="solid">
        <x:fgColor rgb="FFE8F1F4"/>
      </x:patternFill>
    </x:fill>
    <x:fill>
      <x:patternFill patternType="solid">
        <x:fgColor rgb="FF1F6F78"/>
      </x:patternFill>
    </x:fill>
    <x:fill>
      <x:patternFill patternType="solid">
        <x:fgColor rgb="FFF7FAFB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D9E3E7"/>
      </x:bottom>
    </x:border>
    <x:border>
      <x:top style="thin">
        <x:color rgb="FFD9E3E7"/>
      </x:top>
      <x:bottom style="thin">
        <x:color rgb="FFD9E3E7"/>
      </x:bottom>
    </x:border>
    <x:border>
      <x:top style="thin">
        <x:color rgb="FFD9E3E7"/>
      </x:top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1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 applyAlignment="1">
      <x:alignment vertical="center"/>
    </x:xf>
    <x:xf numFmtId="0" fontId="0" fillId="5" borderId="3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0" fontId="4" fillId="5" borderId="2" xfId="0" applyNumberFormat="1" applyFont="1" applyFill="1" applyBorder="1" applyAlignment="1">
      <x:alignment vertical="center"/>
    </x:xf>
    <x:xf numFmtId="200" fontId="4" fillId="5" borderId="3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201" fontId="0" fillId="0" borderId="3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2" xfId="0" applyNumberFormat="1" applyFont="1" applyFill="1" applyBorder="1" applyAlignment="1">
      <x:alignment vertical="center" wrapText="1"/>
    </x:xf>
    <x:xf numFmtId="202" fontId="0" fillId="0" borderId="3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2" fontId="0" fillId="0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202" fontId="0" fillId="0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2" xfId="0" applyNumberFormat="1" applyFont="1" applyFill="1" applyBorder="1" applyAlignment="1">
      <x:alignment horizontal="center" vertical="center" wrapText="1"/>
    </x:xf>
    <x:xf numFmtId="200" fontId="0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vertical="center" wrapText="1"/>
    </x:xf>
    <x:xf numFmtId="203" fontId="0" fillId="0" borderId="2" xfId="0" applyNumberFormat="1" applyFont="1" applyFill="1" applyBorder="1" applyAlignment="1">
      <x:alignment vertical="center" wrapText="1"/>
    </x:xf>
    <x:xf numFmtId="203" fontId="0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ont>
        <x:b/>
        <x:color rgb="FF2E6B2E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2E6B2E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2E6B2E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67f3fed4ab45e2" /><Relationship Type="http://schemas.openxmlformats.org/officeDocument/2006/relationships/theme" Target="/xl/theme/theme1.xml" Id="R3f22a9a39e8a49de" /><Relationship Type="http://schemas.openxmlformats.org/officeDocument/2006/relationships/sharedStrings" Target="/xl/sharedStrings.xml" Id="R02845be1873e4243" /><Relationship Type="http://schemas.openxmlformats.org/officeDocument/2006/relationships/worksheet" Target="/xl/worksheets/sheet1.xml" Id="R01fee6eac7a74284" /><Relationship Type="http://schemas.openxmlformats.org/officeDocument/2006/relationships/worksheet" Target="/xl/worksheets/sheet2.xml" Id="R6a258134ffb745b7" /><Relationship Type="http://schemas.openxmlformats.org/officeDocument/2006/relationships/worksheet" Target="/xl/worksheets/sheet3.xml" Id="Rb323ebb11d024580" /><Relationship Type="http://schemas.openxmlformats.org/officeDocument/2006/relationships/worksheet" Target="/xl/worksheets/sheet4.xml" Id="R1c7cc1e3b5764663" /></Relationships>
</file>

<file path=xl/tables/table1.xml><?xml version="1.0" encoding="utf-8"?>
<x:table xmlns:x="http://schemas.openxmlformats.org/spreadsheetml/2006/main" id="1" name="KobiAttributeChanges" displayName="KobiAttributeChanges" ref="A1:K115" headerRowCount="1" totalsRowCount="0" totalsRowShown="0">
  <x:autoFilter ref="A1:K115"/>
  <x:tableColumns count="11">
    <x:tableColumn id="1" name="ID produktu"/>
    <x:tableColumn id="2" name="SKU"/>
    <x:tableColumn id="3" name="Tytuł produktu"/>
    <x:tableColumn id="4" name="Atrybut"/>
    <x:tableColumn id="5" name="Stara wartość"/>
    <x:tableColumn id="6" name="Nowa wartość"/>
    <x:tableColumn id="7" name="Źródło"/>
    <x:tableColumn id="8" name="Pole źródłowe"/>
    <x:tableColumn id="9" name="Pewność"/>
    <x:tableColumn id="10" name="Status"/>
    <x:tableColumn id="11" name="Komórka w pliku importowy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obiProductsControl" displayName="KobiProductsControl" ref="A1:G56" headerRowCount="1" totalsRowCount="0" totalsRowShown="0">
  <x:autoFilter ref="A1:G56"/>
  <x:tableColumns count="7">
    <x:tableColumn id="1" name="ID produktu"/>
    <x:tableColumn id="2" name="SKU"/>
    <x:tableColumn id="3" name="Tytuł produktu"/>
    <x:tableColumn id="4" name="Źródło danych XML"/>
    <x:tableColumn id="5" name="Liczba uzupełnień"/>
    <x:tableColumn id="6" name="Uzupełnione atrybuty"/>
    <x:tableColumn id="7" name="Status kontrol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obiUnmatchedProducts" displayName="KobiUnmatchedProducts" ref="A4:E9" headerRowCount="1" totalsRowCount="0" totalsRowShown="0">
  <x:autoFilter ref="A4:E9"/>
  <x:tableColumns count="5">
    <x:tableColumn id="1" name="SKU"/>
    <x:tableColumn id="2" name="Tytuł produktu"/>
    <x:tableColumn id="3" name="Kod użyty do wyszukania"/>
    <x:tableColumn id="4" name="Liczba uzupełnień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6f8cd745bb44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a634545bf042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897c7f5b694e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4" hidden="0" customWidth="1"/>
    <x:col min="4" max="4" width="38" hidden="0" customWidth="1"/>
    <x:col min="5" max="5" width="16" hidden="0" customWidth="1"/>
    <x:col min="6" max="6" width="4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Kontrola zmian atrybutów KOBI — import WooCommerce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Raport pokazuje wyłącznie uzupełnienia pustych pól. ID, SKU, tytuły, opisy oraz istniejące wartości atrybutów nie zostały nadpisane.</x:v>
      </x:c>
      <x:c r="B2" s="7"/>
      <x:c r="C2" s="7"/>
      <x:c r="D2" s="7"/>
      <x:c r="E2" s="7"/>
      <x:c r="F2" s="7"/>
      <x:c r="G2" s="7"/>
      <x:c r="H2" s="7"/>
    </x:row>
    <x:row r="4" ht="36" customHeight="1">
      <x:c r="A4" s="12" t="str">
        <x:v>Wskaźnik</x:v>
      </x:c>
      <x:c r="B4" s="12" t="str">
        <x:v>Wartość</x:v>
      </x:c>
      <x:c r="D4" s="12" t="str">
        <x:v>Uzupełniony atrybut</x:v>
      </x:c>
      <x:c r="E4" s="12" t="str">
        <x:v>Liczba pól</x:v>
      </x:c>
    </x:row>
    <x:row r="5">
      <x:c r="A5" s="20" t="str">
        <x:v>Produkty w pliku</x:v>
      </x:c>
      <x:c r="B5" s="29" t="n">
        <x:f>COUNTA('Produkty'!A2:A56)</x:f>
        <x:v>55</x:v>
      </x:c>
      <x:c r="D5" s="38" t="str">
        <x:v>Kąt świecenia [°]</x:v>
      </x:c>
      <x:c r="E5" s="41" t="n">
        <x:f>COUNTIF('Zmiany'!D2:D115,D5)</x:f>
        <x:v>21</x:v>
      </x:c>
    </x:row>
    <x:row r="6">
      <x:c r="A6" s="21" t="str">
        <x:v>Produkty z uzupełnieniami</x:v>
      </x:c>
      <x:c r="B6" s="30" t="n">
        <x:f>COUNTIF('Produkty'!E2:E56,"&gt;0")</x:f>
        <x:v>47</x:v>
      </x:c>
      <x:c r="D6" s="39" t="str">
        <x:v>Kolor</x:v>
      </x:c>
      <x:c r="E6" s="42" t="n">
        <x:f>COUNTIF('Zmiany'!D2:D115,D6)</x:f>
        <x:v>21</x:v>
      </x:c>
    </x:row>
    <x:row r="7">
      <x:c r="A7" s="21" t="str">
        <x:v>Uzupełnione pola</x:v>
      </x:c>
      <x:c r="B7" s="30" t="n">
        <x:f>COUNTA('Zmiany'!A2:A115)</x:f>
        <x:v>114</x:v>
      </x:c>
      <x:c r="D7" s="39" t="str">
        <x:v>Kształt</x:v>
      </x:c>
      <x:c r="E7" s="42" t="n">
        <x:f>COUNTIF('Zmiany'!D2:D115,D7)</x:f>
        <x:v>2</x:v>
      </x:c>
    </x:row>
    <x:row r="8">
      <x:c r="A8" s="21" t="str">
        <x:v>Dopasowanie: aktualny XML</x:v>
      </x:c>
      <x:c r="B8" s="30" t="n">
        <x:f>COUNTIF('Produkty'!D2:D56,"aktualny XML Kobi")</x:f>
        <x:v>47</x:v>
      </x:c>
      <x:c r="D8" s="39" t="str">
        <x:v>Moc [W]</x:v>
      </x:c>
      <x:c r="E8" s="42" t="n">
        <x:f>COUNTIF('Zmiany'!D2:D115,D8)</x:f>
        <x:v>4</x:v>
      </x:c>
    </x:row>
    <x:row r="9">
      <x:c r="A9" s="21" t="str">
        <x:v>Dopasowanie: archiwalny XML</x:v>
      </x:c>
      <x:c r="B9" s="30" t="n">
        <x:f>COUNTIF('Produkty'!D2:D56,"archiwalny XML Kobi")</x:f>
        <x:v>3</x:v>
      </x:c>
      <x:c r="D9" s="39" t="str">
        <x:v>Napięcie [V]</x:v>
      </x:c>
      <x:c r="E9" s="42" t="n">
        <x:f>COUNTIF('Zmiany'!D2:D115,D9)</x:f>
        <x:v>37</x:v>
      </x:c>
    </x:row>
    <x:row r="10">
      <x:c r="A10" s="21" t="str">
        <x:v>Bez dopasowania XML</x:v>
      </x:c>
      <x:c r="B10" s="30" t="n">
        <x:f>COUNTIF('Produkty'!D2:D56,"brak dopasowania XML")</x:f>
        <x:v>5</x:v>
      </x:c>
      <x:c r="D10" s="39" t="str">
        <x:v>Stopień Ochrony [IP]</x:v>
      </x:c>
      <x:c r="E10" s="42" t="n">
        <x:f>COUNTIF('Zmiany'!D2:D115,D10)</x:f>
        <x:v>17</x:v>
      </x:c>
    </x:row>
    <x:row r="11">
      <x:c r="A11" s="21" t="str">
        <x:v>Zmiany ze statusem OK</x:v>
      </x:c>
      <x:c r="B11" s="30" t="n">
        <x:f>COUNTIF('Zmiany'!J2:J115,"OK")</x:f>
        <x:v>106</x:v>
      </x:c>
      <x:c r="D11" s="39" t="str">
        <x:v>Strumień świetlny [lm]</x:v>
      </x:c>
      <x:c r="E11" s="42" t="n">
        <x:f>COUNTIF('Zmiany'!D2:D115,D11)</x:f>
        <x:v>3</x:v>
      </x:c>
    </x:row>
    <x:row r="12">
      <x:c r="A12" s="22" t="str">
        <x:v>Zmiany ze statusem WARNING</x:v>
      </x:c>
      <x:c r="B12" s="31" t="n">
        <x:f>COUNTIF('Zmiany'!J2:J115,"WARNING")</x:f>
        <x:v>8</x:v>
      </x:c>
      <x:c r="D12" s="39" t="str">
        <x:v>Temperatura Barwowa [K]</x:v>
      </x:c>
      <x:c r="E12" s="42" t="n">
        <x:f>COUNTIF('Zmiany'!D2:D115,D12)</x:f>
        <x:v>1</x:v>
      </x:c>
    </x:row>
    <x:row r="13">
      <x:c r="D13" s="40" t="str">
        <x:v>Trzonek</x:v>
      </x:c>
      <x:c r="E13" s="43" t="n">
        <x:f>COUNTIF('Zmiany'!D2:D115,D13)</x:f>
        <x:v>8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62" hidden="0" customWidth="1"/>
    <x:col min="4" max="4" width="34" hidden="0" customWidth="1"/>
    <x:col min="5" max="5" width="16" hidden="0" customWidth="1"/>
    <x:col min="6" max="6" width="30" hidden="0" customWidth="1"/>
    <x:col min="7" max="7" width="24" hidden="0" customWidth="1"/>
    <x:col min="8" max="8" width="36" hidden="0" customWidth="1"/>
    <x:col min="9" max="9" width="14" hidden="0" customWidth="1"/>
    <x:col min="10" max="10" width="18" hidden="0" customWidth="1"/>
    <x:col min="11" max="11" width="26" hidden="0" customWidth="1"/>
  </x:cols>
  <x:sheetData>
    <x:row r="1" ht="44" customHeight="1">
      <x:c r="A1" s="12" t="str">
        <x:v>ID produktu</x:v>
      </x:c>
      <x:c r="B1" s="12" t="str">
        <x:v>SKU</x:v>
      </x:c>
      <x:c r="C1" s="12" t="str">
        <x:v>Tytuł produktu</x:v>
      </x:c>
      <x:c r="D1" s="12" t="str">
        <x:v>Atrybut</x:v>
      </x:c>
      <x:c r="E1" s="12" t="str">
        <x:v>Stara wartość</x:v>
      </x:c>
      <x:c r="F1" s="12" t="str">
        <x:v>Nowa wartość</x:v>
      </x:c>
      <x:c r="G1" s="12" t="str">
        <x:v>Źródło</x:v>
      </x:c>
      <x:c r="H1" s="12" t="str">
        <x:v>Pole źródłowe</x:v>
      </x:c>
      <x:c r="I1" s="12" t="str">
        <x:v>Pewność</x:v>
      </x:c>
      <x:c r="J1" s="12" t="str">
        <x:v>Status</x:v>
      </x:c>
      <x:c r="K1" s="12" t="str">
        <x:v>Komórka w pliku importowym</x:v>
      </x:c>
    </x:row>
    <x:row r="2">
      <x:c r="A2" s="44" t="str">
        <x:v>25276</x:v>
      </x:c>
      <x:c r="B2" s="44" t="str">
        <x:v>002091/KOB</x:v>
      </x:c>
      <x:c r="C2" s="38" t="str">
        <x:v>Oprawa Downlight GU10 tuba ruchoma czarna Kobi OH36 KPOH36CZ</x:v>
      </x:c>
      <x:c r="D2" s="38" t="str">
        <x:v>Napięcie [V]</x:v>
      </x:c>
      <x:c r="E2" s="38" t="str">
        <x:v>(puste)</x:v>
      </x:c>
      <x:c r="F2" s="38" t="str">
        <x:v>230</x:v>
      </x:c>
      <x:c r="G2" s="38" t="str">
        <x:v>aktualny XML Kobi</x:v>
      </x:c>
      <x:c r="H2" s="38" t="str">
        <x:v>Napięcie zasilania</x:v>
      </x:c>
      <x:c r="I2" s="50" t="n">
        <x:v>0.97</x:v>
      </x:c>
      <x:c r="J2" s="51" t="str">
        <x:v>OK</x:v>
      </x:c>
      <x:c r="K2" s="38" t="str">
        <x:v>Worksheet!AF3</x:v>
      </x:c>
    </x:row>
    <x:row r="3">
      <x:c r="A3" s="45" t="str">
        <x:v>25276</x:v>
      </x:c>
      <x:c r="B3" s="45" t="str">
        <x:v>002091/KOB</x:v>
      </x:c>
      <x:c r="C3" s="39" t="str">
        <x:v>Oprawa Downlight GU10 tuba ruchoma czarna Kobi OH36 KPOH36CZ</x:v>
      </x:c>
      <x:c r="D3" s="39" t="str">
        <x:v>Stopień Ochrony [IP]</x:v>
      </x:c>
      <x:c r="E3" s="39" t="str">
        <x:v>(puste)</x:v>
      </x:c>
      <x:c r="F3" s="39" t="str">
        <x:v>IP 20</x:v>
      </x:c>
      <x:c r="G3" s="39" t="str">
        <x:v>aktualny XML Kobi</x:v>
      </x:c>
      <x:c r="H3" s="39" t="str">
        <x:v>IP</x:v>
      </x:c>
      <x:c r="I3" s="52" t="n">
        <x:v>0.97</x:v>
      </x:c>
      <x:c r="J3" s="53" t="str">
        <x:v>OK</x:v>
      </x:c>
      <x:c r="K3" s="39" t="str">
        <x:v>Worksheet!BD3</x:v>
      </x:c>
    </x:row>
    <x:row r="4">
      <x:c r="A4" s="45" t="str">
        <x:v>25278</x:v>
      </x:c>
      <x:c r="B4" s="45" t="str">
        <x:v>002099/KOB</x:v>
      </x:c>
      <x:c r="C4" s="39" t="str">
        <x:v>Oprawa DWONLIGHT GU10 sześcian ruchomy chrom aluminium KOBI OH37 KPOH37CH</x:v>
      </x:c>
      <x:c r="D4" s="39" t="str">
        <x:v>Napięcie [V]</x:v>
      </x:c>
      <x:c r="E4" s="39" t="str">
        <x:v>(puste)</x:v>
      </x:c>
      <x:c r="F4" s="39" t="str">
        <x:v>230</x:v>
      </x:c>
      <x:c r="G4" s="39" t="str">
        <x:v>aktualny XML Kobi</x:v>
      </x:c>
      <x:c r="H4" s="39" t="str">
        <x:v>Napięcie zasilania</x:v>
      </x:c>
      <x:c r="I4" s="52" t="n">
        <x:v>0.97</x:v>
      </x:c>
      <x:c r="J4" s="53" t="str">
        <x:v>OK</x:v>
      </x:c>
      <x:c r="K4" s="39" t="str">
        <x:v>Worksheet!AF4</x:v>
      </x:c>
    </x:row>
    <x:row r="5">
      <x:c r="A5" s="45" t="str">
        <x:v>25278</x:v>
      </x:c>
      <x:c r="B5" s="45" t="str">
        <x:v>002099/KOB</x:v>
      </x:c>
      <x:c r="C5" s="39" t="str">
        <x:v>Oprawa DWONLIGHT GU10 sześcian ruchomy chrom aluminium KOBI OH37 KPOH37CH</x:v>
      </x:c>
      <x:c r="D5" s="39" t="str">
        <x:v>Stopień Ochrony [IP]</x:v>
      </x:c>
      <x:c r="E5" s="39" t="str">
        <x:v>(puste)</x:v>
      </x:c>
      <x:c r="F5" s="39" t="str">
        <x:v>IP 20</x:v>
      </x:c>
      <x:c r="G5" s="39" t="str">
        <x:v>aktualny XML Kobi</x:v>
      </x:c>
      <x:c r="H5" s="39" t="str">
        <x:v>IP</x:v>
      </x:c>
      <x:c r="I5" s="52" t="n">
        <x:v>0.97</x:v>
      </x:c>
      <x:c r="J5" s="53" t="str">
        <x:v>OK</x:v>
      </x:c>
      <x:c r="K5" s="39" t="str">
        <x:v>Worksheet!BD4</x:v>
      </x:c>
    </x:row>
    <x:row r="6">
      <x:c r="A6" s="45" t="str">
        <x:v>32072</x:v>
      </x:c>
      <x:c r="B6" s="45" t="str">
        <x:v>001605/KOB</x:v>
      </x:c>
      <x:c r="C6" s="39" t="str">
        <x:v>Oprawa hermetyczna IP65 bez statecznika (do świetlówek LED) 2x120CM KOBI HERMETIC KFHCE2120</x:v>
      </x:c>
      <x:c r="D6" s="39" t="str">
        <x:v>Kolor</x:v>
      </x:c>
      <x:c r="E6" s="39" t="str">
        <x:v>(puste)</x:v>
      </x:c>
      <x:c r="F6" s="39" t="str">
        <x:v>Szary</x:v>
      </x:c>
      <x:c r="G6" s="39" t="str">
        <x:v>aktualny XML Kobi</x:v>
      </x:c>
      <x:c r="H6" s="39" t="str">
        <x:v>Kolor produktu</x:v>
      </x:c>
      <x:c r="I6" s="52" t="n">
        <x:v>0.97</x:v>
      </x:c>
      <x:c r="J6" s="53" t="str">
        <x:v>OK</x:v>
      </x:c>
      <x:c r="K6" s="39" t="str">
        <x:v>Worksheet!T5</x:v>
      </x:c>
    </x:row>
    <x:row r="7">
      <x:c r="A7" s="45" t="str">
        <x:v>32072</x:v>
      </x:c>
      <x:c r="B7" s="45" t="str">
        <x:v>001605/KOB</x:v>
      </x:c>
      <x:c r="C7" s="39" t="str">
        <x:v>Oprawa hermetyczna IP65 bez statecznika (do świetlówek LED) 2x120CM KOBI HERMETIC KFHCE2120</x:v>
      </x:c>
      <x:c r="D7" s="39" t="str">
        <x:v>Napięcie [V]</x:v>
      </x:c>
      <x:c r="E7" s="39" t="str">
        <x:v>(puste)</x:v>
      </x:c>
      <x:c r="F7" s="39" t="str">
        <x:v>230</x:v>
      </x:c>
      <x:c r="G7" s="39" t="str">
        <x:v>aktualny XML Kobi</x:v>
      </x:c>
      <x:c r="H7" s="39" t="str">
        <x:v>Napięcie zasilania</x:v>
      </x:c>
      <x:c r="I7" s="52" t="n">
        <x:v>0.97</x:v>
      </x:c>
      <x:c r="J7" s="53" t="str">
        <x:v>OK</x:v>
      </x:c>
      <x:c r="K7" s="39" t="str">
        <x:v>Worksheet!AF5</x:v>
      </x:c>
    </x:row>
    <x:row r="8">
      <x:c r="A8" s="45" t="str">
        <x:v>32072</x:v>
      </x:c>
      <x:c r="B8" s="45" t="str">
        <x:v>001605/KOB</x:v>
      </x:c>
      <x:c r="C8" s="39" t="str">
        <x:v>Oprawa hermetyczna IP65 bez statecznika (do świetlówek LED) 2x120CM KOBI HERMETIC KFHCE2120</x:v>
      </x:c>
      <x:c r="D8" s="39" t="str">
        <x:v>Stopień Ochrony [IP]</x:v>
      </x:c>
      <x:c r="E8" s="39" t="str">
        <x:v>(puste)</x:v>
      </x:c>
      <x:c r="F8" s="39" t="str">
        <x:v>IP 65</x:v>
      </x:c>
      <x:c r="G8" s="39" t="str">
        <x:v>aktualny XML Kobi</x:v>
      </x:c>
      <x:c r="H8" s="39" t="str">
        <x:v>IP</x:v>
      </x:c>
      <x:c r="I8" s="52" t="n">
        <x:v>0.97</x:v>
      </x:c>
      <x:c r="J8" s="53" t="str">
        <x:v>OK</x:v>
      </x:c>
      <x:c r="K8" s="39" t="str">
        <x:v>Worksheet!BD5</x:v>
      </x:c>
    </x:row>
    <x:row r="9">
      <x:c r="A9" s="45" t="str">
        <x:v>32072</x:v>
      </x:c>
      <x:c r="B9" s="45" t="str">
        <x:v>001605/KOB</x:v>
      </x:c>
      <x:c r="C9" s="39" t="str">
        <x:v>Oprawa hermetyczna IP65 bez statecznika (do świetlówek LED) 2x120CM KOBI HERMETIC KFHCE2120</x:v>
      </x:c>
      <x:c r="D9" s="39" t="str">
        <x:v>Trzonek</x:v>
      </x:c>
      <x:c r="E9" s="39" t="str">
        <x:v>(puste)</x:v>
      </x:c>
      <x:c r="F9" s="39" t="str">
        <x:v>G13</x:v>
      </x:c>
      <x:c r="G9" s="39" t="str">
        <x:v>aktualny XML Kobi</x:v>
      </x:c>
      <x:c r="H9" s="39" t="str">
        <x:v>Trzonek</x:v>
      </x:c>
      <x:c r="I9" s="52" t="n">
        <x:v>0.97</x:v>
      </x:c>
      <x:c r="J9" s="53" t="str">
        <x:v>OK</x:v>
      </x:c>
      <x:c r="K9" s="39" t="str">
        <x:v>Worksheet!BK5</x:v>
      </x:c>
    </x:row>
    <x:row r="10">
      <x:c r="A10" s="45" t="str">
        <x:v>32076</x:v>
      </x:c>
      <x:c r="B10" s="45" t="str">
        <x:v>001607/KOB</x:v>
      </x:c>
      <x:c r="C10" s="39" t="str">
        <x:v>Oprawa hermetyczna IP65 bez statecznika (do świetlówek LED) 2x60CM KOBI HERMETIC KFHCE260</x:v>
      </x:c>
      <x:c r="D10" s="39" t="str">
        <x:v>Kolor</x:v>
      </x:c>
      <x:c r="E10" s="39" t="str">
        <x:v>(puste)</x:v>
      </x:c>
      <x:c r="F10" s="39" t="str">
        <x:v>Szary</x:v>
      </x:c>
      <x:c r="G10" s="39" t="str">
        <x:v>aktualny XML Kobi</x:v>
      </x:c>
      <x:c r="H10" s="39" t="str">
        <x:v>Kolor produktu</x:v>
      </x:c>
      <x:c r="I10" s="52" t="n">
        <x:v>0.97</x:v>
      </x:c>
      <x:c r="J10" s="53" t="str">
        <x:v>OK</x:v>
      </x:c>
      <x:c r="K10" s="39" t="str">
        <x:v>Worksheet!T6</x:v>
      </x:c>
    </x:row>
    <x:row r="11">
      <x:c r="A11" s="45" t="str">
        <x:v>32076</x:v>
      </x:c>
      <x:c r="B11" s="45" t="str">
        <x:v>001607/KOB</x:v>
      </x:c>
      <x:c r="C11" s="39" t="str">
        <x:v>Oprawa hermetyczna IP65 bez statecznika (do świetlówek LED) 2x60CM KOBI HERMETIC KFHCE260</x:v>
      </x:c>
      <x:c r="D11" s="39" t="str">
        <x:v>Napięcie [V]</x:v>
      </x:c>
      <x:c r="E11" s="39" t="str">
        <x:v>(puste)</x:v>
      </x:c>
      <x:c r="F11" s="39" t="str">
        <x:v>230</x:v>
      </x:c>
      <x:c r="G11" s="39" t="str">
        <x:v>aktualny XML Kobi</x:v>
      </x:c>
      <x:c r="H11" s="39" t="str">
        <x:v>Napięcie zasilania</x:v>
      </x:c>
      <x:c r="I11" s="52" t="n">
        <x:v>0.97</x:v>
      </x:c>
      <x:c r="J11" s="53" t="str">
        <x:v>OK</x:v>
      </x:c>
      <x:c r="K11" s="39" t="str">
        <x:v>Worksheet!AF6</x:v>
      </x:c>
    </x:row>
    <x:row r="12">
      <x:c r="A12" s="45" t="str">
        <x:v>32076</x:v>
      </x:c>
      <x:c r="B12" s="45" t="str">
        <x:v>001607/KOB</x:v>
      </x:c>
      <x:c r="C12" s="39" t="str">
        <x:v>Oprawa hermetyczna IP65 bez statecznika (do świetlówek LED) 2x60CM KOBI HERMETIC KFHCE260</x:v>
      </x:c>
      <x:c r="D12" s="39" t="str">
        <x:v>Stopień Ochrony [IP]</x:v>
      </x:c>
      <x:c r="E12" s="39" t="str">
        <x:v>(puste)</x:v>
      </x:c>
      <x:c r="F12" s="39" t="str">
        <x:v>IP 65</x:v>
      </x:c>
      <x:c r="G12" s="39" t="str">
        <x:v>aktualny XML Kobi</x:v>
      </x:c>
      <x:c r="H12" s="39" t="str">
        <x:v>IP</x:v>
      </x:c>
      <x:c r="I12" s="52" t="n">
        <x:v>0.97</x:v>
      </x:c>
      <x:c r="J12" s="53" t="str">
        <x:v>OK</x:v>
      </x:c>
      <x:c r="K12" s="39" t="str">
        <x:v>Worksheet!BD6</x:v>
      </x:c>
    </x:row>
    <x:row r="13">
      <x:c r="A13" s="45" t="str">
        <x:v>32076</x:v>
      </x:c>
      <x:c r="B13" s="45" t="str">
        <x:v>001607/KOB</x:v>
      </x:c>
      <x:c r="C13" s="39" t="str">
        <x:v>Oprawa hermetyczna IP65 bez statecznika (do świetlówek LED) 2x60CM KOBI HERMETIC KFHCE260</x:v>
      </x:c>
      <x:c r="D13" s="39" t="str">
        <x:v>Trzonek</x:v>
      </x:c>
      <x:c r="E13" s="39" t="str">
        <x:v>(puste)</x:v>
      </x:c>
      <x:c r="F13" s="39" t="str">
        <x:v>G13</x:v>
      </x:c>
      <x:c r="G13" s="39" t="str">
        <x:v>aktualny XML Kobi</x:v>
      </x:c>
      <x:c r="H13" s="39" t="str">
        <x:v>Trzonek</x:v>
      </x:c>
      <x:c r="I13" s="52" t="n">
        <x:v>0.97</x:v>
      </x:c>
      <x:c r="J13" s="53" t="str">
        <x:v>OK</x:v>
      </x:c>
      <x:c r="K13" s="39" t="str">
        <x:v>Worksheet!BK6</x:v>
      </x:c>
    </x:row>
    <x:row r="14">
      <x:c r="A14" s="45" t="str">
        <x:v>35178</x:v>
      </x:c>
      <x:c r="B14" s="45" t="str">
        <x:v>001819/KOB</x:v>
      </x:c>
      <x:c r="C14" s="39" t="str">
        <x:v>Lampa uliczna solarna Solar LED Street 15W 4000K Kobi KFNSU15NB</x:v>
      </x:c>
      <x:c r="D14" s="39" t="str">
        <x:v>Kolor</x:v>
      </x:c>
      <x:c r="E14" s="39" t="str">
        <x:v>(puste)</x:v>
      </x:c>
      <x:c r="F14" s="39" t="str">
        <x:v>Czarny</x:v>
      </x:c>
      <x:c r="G14" s="39" t="str">
        <x:v>aktualny XML Kobi</x:v>
      </x:c>
      <x:c r="H14" s="39" t="str">
        <x:v>Kolor produktu</x:v>
      </x:c>
      <x:c r="I14" s="52" t="n">
        <x:v>0.97</x:v>
      </x:c>
      <x:c r="J14" s="53" t="str">
        <x:v>OK</x:v>
      </x:c>
      <x:c r="K14" s="39" t="str">
        <x:v>Worksheet!T11</x:v>
      </x:c>
    </x:row>
    <x:row r="15">
      <x:c r="A15" s="45" t="str">
        <x:v>35178</x:v>
      </x:c>
      <x:c r="B15" s="45" t="str">
        <x:v>001819/KOB</x:v>
      </x:c>
      <x:c r="C15" s="39" t="str">
        <x:v>Lampa uliczna solarna Solar LED Street 15W 4000K Kobi KFNSU15NB</x:v>
      </x:c>
      <x:c r="D15" s="39" t="str">
        <x:v>Moc [W]</x:v>
      </x:c>
      <x:c r="E15" s="39" t="str">
        <x:v>(puste)</x:v>
      </x:c>
      <x:c r="F15" s="39" t="str">
        <x:v>15</x:v>
      </x:c>
      <x:c r="G15" s="39" t="str">
        <x:v>aktualny XML Kobi</x:v>
      </x:c>
      <x:c r="H15" s="39" t="str">
        <x:v>Moc [W]</x:v>
      </x:c>
      <x:c r="I15" s="52" t="n">
        <x:v>0.97</x:v>
      </x:c>
      <x:c r="J15" s="53" t="str">
        <x:v>OK</x:v>
      </x:c>
      <x:c r="K15" s="39" t="str">
        <x:v>Worksheet!AC11</x:v>
      </x:c>
    </x:row>
    <x:row r="16">
      <x:c r="A16" s="45" t="str">
        <x:v>35178</x:v>
      </x:c>
      <x:c r="B16" s="45" t="str">
        <x:v>001819/KOB</x:v>
      </x:c>
      <x:c r="C16" s="39" t="str">
        <x:v>Lampa uliczna solarna Solar LED Street 15W 4000K Kobi KFNSU15NB</x:v>
      </x:c>
      <x:c r="D16" s="39" t="str">
        <x:v>Stopień Ochrony [IP]</x:v>
      </x:c>
      <x:c r="E16" s="39" t="str">
        <x:v>(puste)</x:v>
      </x:c>
      <x:c r="F16" s="39" t="str">
        <x:v>IP 65</x:v>
      </x:c>
      <x:c r="G16" s="39" t="str">
        <x:v>aktualny XML Kobi</x:v>
      </x:c>
      <x:c r="H16" s="39" t="str">
        <x:v>IP</x:v>
      </x:c>
      <x:c r="I16" s="52" t="n">
        <x:v>0.97</x:v>
      </x:c>
      <x:c r="J16" s="53" t="str">
        <x:v>OK</x:v>
      </x:c>
      <x:c r="K16" s="39" t="str">
        <x:v>Worksheet!BD11</x:v>
      </x:c>
    </x:row>
    <x:row r="17">
      <x:c r="A17" s="45" t="str">
        <x:v>35178</x:v>
      </x:c>
      <x:c r="B17" s="45" t="str">
        <x:v>001819/KOB</x:v>
      </x:c>
      <x:c r="C17" s="39" t="str">
        <x:v>Lampa uliczna solarna Solar LED Street 15W 4000K Kobi KFNSU15NB</x:v>
      </x:c>
      <x:c r="D17" s="39" t="str">
        <x:v>Strumień świetlny [lm]</x:v>
      </x:c>
      <x:c r="E17" s="39" t="str">
        <x:v>(puste)</x:v>
      </x:c>
      <x:c r="F17" s="39" t="str">
        <x:v>1600</x:v>
      </x:c>
      <x:c r="G17" s="39" t="str">
        <x:v>aktualny XML Kobi</x:v>
      </x:c>
      <x:c r="H17" s="39" t="str">
        <x:v>Strumień świetlny |lm|</x:v>
      </x:c>
      <x:c r="I17" s="52" t="n">
        <x:v>0.97</x:v>
      </x:c>
      <x:c r="J17" s="53" t="str">
        <x:v>OK</x:v>
      </x:c>
      <x:c r="K17" s="39" t="str">
        <x:v>Worksheet!BF11</x:v>
      </x:c>
    </x:row>
    <x:row r="18">
      <x:c r="A18" s="45" t="str">
        <x:v>35178</x:v>
      </x:c>
      <x:c r="B18" s="45" t="str">
        <x:v>001819/KOB</x:v>
      </x:c>
      <x:c r="C18" s="39" t="str">
        <x:v>Lampa uliczna solarna Solar LED Street 15W 4000K Kobi KFNSU15NB</x:v>
      </x:c>
      <x:c r="D18" s="39" t="str">
        <x:v>Temperatura Barwowa [K]</x:v>
      </x:c>
      <x:c r="E18" s="39" t="str">
        <x:v>(puste)</x:v>
      </x:c>
      <x:c r="F18" s="39" t="str">
        <x:v>4000</x:v>
      </x:c>
      <x:c r="G18" s="39" t="str">
        <x:v>aktualny XML Kobi</x:v>
      </x:c>
      <x:c r="H18" s="39" t="str">
        <x:v>Temperatura barwowa |K|</x:v>
      </x:c>
      <x:c r="I18" s="52" t="n">
        <x:v>0.97</x:v>
      </x:c>
      <x:c r="J18" s="53" t="str">
        <x:v>OK</x:v>
      </x:c>
      <x:c r="K18" s="39" t="str">
        <x:v>Worksheet!BI11</x:v>
      </x:c>
    </x:row>
    <x:row r="19">
      <x:c r="A19" s="45" t="str">
        <x:v>39750</x:v>
      </x:c>
      <x:c r="B19" s="45" t="str">
        <x:v>002089/KOB</x:v>
      </x:c>
      <x:c r="C19" s="39" t="str">
        <x:v>Oprawa ruchoma do nadbudowania OH36 biała KPOH36BI</x:v>
      </x:c>
      <x:c r="D19" s="39" t="str">
        <x:v>Napięcie [V]</x:v>
      </x:c>
      <x:c r="E19" s="39" t="str">
        <x:v>(puste)</x:v>
      </x:c>
      <x:c r="F19" s="39" t="str">
        <x:v>230</x:v>
      </x:c>
      <x:c r="G19" s="39" t="str">
        <x:v>aktualny XML Kobi</x:v>
      </x:c>
      <x:c r="H19" s="39" t="str">
        <x:v>Napięcie zasilania</x:v>
      </x:c>
      <x:c r="I19" s="52" t="n">
        <x:v>0.97</x:v>
      </x:c>
      <x:c r="J19" s="53" t="str">
        <x:v>OK</x:v>
      </x:c>
      <x:c r="K19" s="39" t="str">
        <x:v>Worksheet!AF12</x:v>
      </x:c>
    </x:row>
    <x:row r="20">
      <x:c r="A20" s="45" t="str">
        <x:v>39750</x:v>
      </x:c>
      <x:c r="B20" s="45" t="str">
        <x:v>002089/KOB</x:v>
      </x:c>
      <x:c r="C20" s="39" t="str">
        <x:v>Oprawa ruchoma do nadbudowania OH36 biała KPOH36BI</x:v>
      </x:c>
      <x:c r="D20" s="39" t="str">
        <x:v>Stopień Ochrony [IP]</x:v>
      </x:c>
      <x:c r="E20" s="39" t="str">
        <x:v>(puste)</x:v>
      </x:c>
      <x:c r="F20" s="39" t="str">
        <x:v>IP 20</x:v>
      </x:c>
      <x:c r="G20" s="39" t="str">
        <x:v>aktualny XML Kobi</x:v>
      </x:c>
      <x:c r="H20" s="39" t="str">
        <x:v>IP</x:v>
      </x:c>
      <x:c r="I20" s="52" t="n">
        <x:v>0.97</x:v>
      </x:c>
      <x:c r="J20" s="53" t="str">
        <x:v>OK</x:v>
      </x:c>
      <x:c r="K20" s="39" t="str">
        <x:v>Worksheet!BD12</x:v>
      </x:c>
    </x:row>
    <x:row r="21">
      <x:c r="A21" s="45" t="str">
        <x:v>39750</x:v>
      </x:c>
      <x:c r="B21" s="45" t="str">
        <x:v>002089/KOB</x:v>
      </x:c>
      <x:c r="C21" s="39" t="str">
        <x:v>Oprawa ruchoma do nadbudowania OH36 biała KPOH36BI</x:v>
      </x:c>
      <x:c r="D21" s="39" t="str">
        <x:v>Trzonek</x:v>
      </x:c>
      <x:c r="E21" s="39" t="str">
        <x:v>(puste)</x:v>
      </x:c>
      <x:c r="F21" s="39" t="str">
        <x:v>GU10</x:v>
      </x:c>
      <x:c r="G21" s="39" t="str">
        <x:v>aktualny XML Kobi</x:v>
      </x:c>
      <x:c r="H21" s="39" t="str">
        <x:v>Trzonek</x:v>
      </x:c>
      <x:c r="I21" s="52" t="n">
        <x:v>0.97</x:v>
      </x:c>
      <x:c r="J21" s="53" t="str">
        <x:v>OK</x:v>
      </x:c>
      <x:c r="K21" s="39" t="str">
        <x:v>Worksheet!BK12</x:v>
      </x:c>
    </x:row>
    <x:row r="22">
      <x:c r="A22" s="45" t="str">
        <x:v>63877</x:v>
      </x:c>
      <x:c r="B22" s="45" t="str">
        <x:v>002225/KOB</x:v>
      </x:c>
      <x:c r="C22" s="39" t="str">
        <x:v>Lampa KULA OGRODOWA GARDEN BALL L 380mm KAMIEŃ IP65 KOBI KTGBL</x:v>
      </x:c>
      <x:c r="D22" s="39" t="str">
        <x:v>Kolor</x:v>
      </x:c>
      <x:c r="E22" s="39" t="str">
        <x:v>(puste)</x:v>
      </x:c>
      <x:c r="F22" s="39" t="str">
        <x:v>Biały</x:v>
      </x:c>
      <x:c r="G22" s="39" t="str">
        <x:v>aktualny XML Kobi</x:v>
      </x:c>
      <x:c r="H22" s="39" t="str">
        <x:v>Kolor produktu</x:v>
      </x:c>
      <x:c r="I22" s="52" t="n">
        <x:v>0.97</x:v>
      </x:c>
      <x:c r="J22" s="53" t="str">
        <x:v>OK</x:v>
      </x:c>
      <x:c r="K22" s="39" t="str">
        <x:v>Worksheet!T13</x:v>
      </x:c>
    </x:row>
    <x:row r="23">
      <x:c r="A23" s="45" t="str">
        <x:v>63877</x:v>
      </x:c>
      <x:c r="B23" s="45" t="str">
        <x:v>002225/KOB</x:v>
      </x:c>
      <x:c r="C23" s="39" t="str">
        <x:v>Lampa KULA OGRODOWA GARDEN BALL L 380mm KAMIEŃ IP65 KOBI KTGBL</x:v>
      </x:c>
      <x:c r="D23" s="39" t="str">
        <x:v>Napięcie [V]</x:v>
      </x:c>
      <x:c r="E23" s="39" t="str">
        <x:v>(puste)</x:v>
      </x:c>
      <x:c r="F23" s="39" t="str">
        <x:v>230</x:v>
      </x:c>
      <x:c r="G23" s="39" t="str">
        <x:v>aktualny XML Kobi</x:v>
      </x:c>
      <x:c r="H23" s="39" t="str">
        <x:v>Napięcie zasilania</x:v>
      </x:c>
      <x:c r="I23" s="52" t="n">
        <x:v>0.97</x:v>
      </x:c>
      <x:c r="J23" s="53" t="str">
        <x:v>OK</x:v>
      </x:c>
      <x:c r="K23" s="39" t="str">
        <x:v>Worksheet!AF13</x:v>
      </x:c>
    </x:row>
    <x:row r="24">
      <x:c r="A24" s="45" t="str">
        <x:v>63877</x:v>
      </x:c>
      <x:c r="B24" s="45" t="str">
        <x:v>002225/KOB</x:v>
      </x:c>
      <x:c r="C24" s="39" t="str">
        <x:v>Lampa KULA OGRODOWA GARDEN BALL L 380mm KAMIEŃ IP65 KOBI KTGBL</x:v>
      </x:c>
      <x:c r="D24" s="39" t="str">
        <x:v>Stopień Ochrony [IP]</x:v>
      </x:c>
      <x:c r="E24" s="39" t="str">
        <x:v>(puste)</x:v>
      </x:c>
      <x:c r="F24" s="39" t="str">
        <x:v>IP 65</x:v>
      </x:c>
      <x:c r="G24" s="39" t="str">
        <x:v>aktualny XML Kobi</x:v>
      </x:c>
      <x:c r="H24" s="39" t="str">
        <x:v>IP</x:v>
      </x:c>
      <x:c r="I24" s="52" t="n">
        <x:v>0.97</x:v>
      </x:c>
      <x:c r="J24" s="53" t="str">
        <x:v>OK</x:v>
      </x:c>
      <x:c r="K24" s="39" t="str">
        <x:v>Worksheet!BD13</x:v>
      </x:c>
    </x:row>
    <x:row r="25">
      <x:c r="A25" s="45" t="str">
        <x:v>63877</x:v>
      </x:c>
      <x:c r="B25" s="45" t="str">
        <x:v>002225/KOB</x:v>
      </x:c>
      <x:c r="C25" s="39" t="str">
        <x:v>Lampa KULA OGRODOWA GARDEN BALL L 380mm KAMIEŃ IP65 KOBI KTGBL</x:v>
      </x:c>
      <x:c r="D25" s="39" t="str">
        <x:v>Trzonek</x:v>
      </x:c>
      <x:c r="E25" s="39" t="str">
        <x:v>(puste)</x:v>
      </x:c>
      <x:c r="F25" s="39" t="str">
        <x:v>E27</x:v>
      </x:c>
      <x:c r="G25" s="39" t="str">
        <x:v>aktualny XML Kobi</x:v>
      </x:c>
      <x:c r="H25" s="39" t="str">
        <x:v>Trzonek</x:v>
      </x:c>
      <x:c r="I25" s="52" t="n">
        <x:v>0.97</x:v>
      </x:c>
      <x:c r="J25" s="53" t="str">
        <x:v>OK</x:v>
      </x:c>
      <x:c r="K25" s="39" t="str">
        <x:v>Worksheet!BK13</x:v>
      </x:c>
    </x:row>
    <x:row r="26">
      <x:c r="A26" s="45" t="str">
        <x:v>63878</x:v>
      </x:c>
      <x:c r="B26" s="45" t="str">
        <x:v>002226/KOB</x:v>
      </x:c>
      <x:c r="C26" s="39" t="str">
        <x:v>Lampa Kula Ogrodowa Garden Ball M 280mm Kamień IP65 KOBI KTGBM</x:v>
      </x:c>
      <x:c r="D26" s="39" t="str">
        <x:v>Kolor</x:v>
      </x:c>
      <x:c r="E26" s="39" t="str">
        <x:v>(puste)</x:v>
      </x:c>
      <x:c r="F26" s="39" t="str">
        <x:v>Biały</x:v>
      </x:c>
      <x:c r="G26" s="39" t="str">
        <x:v>aktualny XML Kobi</x:v>
      </x:c>
      <x:c r="H26" s="39" t="str">
        <x:v>Kolor produktu</x:v>
      </x:c>
      <x:c r="I26" s="52" t="n">
        <x:v>0.97</x:v>
      </x:c>
      <x:c r="J26" s="53" t="str">
        <x:v>OK</x:v>
      </x:c>
      <x:c r="K26" s="39" t="str">
        <x:v>Worksheet!T14</x:v>
      </x:c>
    </x:row>
    <x:row r="27">
      <x:c r="A27" s="45" t="str">
        <x:v>63878</x:v>
      </x:c>
      <x:c r="B27" s="45" t="str">
        <x:v>002226/KOB</x:v>
      </x:c>
      <x:c r="C27" s="39" t="str">
        <x:v>Lampa Kula Ogrodowa Garden Ball M 280mm Kamień IP65 KOBI KTGBM</x:v>
      </x:c>
      <x:c r="D27" s="39" t="str">
        <x:v>Napięcie [V]</x:v>
      </x:c>
      <x:c r="E27" s="39" t="str">
        <x:v>(puste)</x:v>
      </x:c>
      <x:c r="F27" s="39" t="str">
        <x:v>230</x:v>
      </x:c>
      <x:c r="G27" s="39" t="str">
        <x:v>aktualny XML Kobi</x:v>
      </x:c>
      <x:c r="H27" s="39" t="str">
        <x:v>Napięcie zasilania</x:v>
      </x:c>
      <x:c r="I27" s="52" t="n">
        <x:v>0.97</x:v>
      </x:c>
      <x:c r="J27" s="53" t="str">
        <x:v>OK</x:v>
      </x:c>
      <x:c r="K27" s="39" t="str">
        <x:v>Worksheet!AF14</x:v>
      </x:c>
    </x:row>
    <x:row r="28">
      <x:c r="A28" s="45" t="str">
        <x:v>63878</x:v>
      </x:c>
      <x:c r="B28" s="45" t="str">
        <x:v>002226/KOB</x:v>
      </x:c>
      <x:c r="C28" s="39" t="str">
        <x:v>Lampa Kula Ogrodowa Garden Ball M 280mm Kamień IP65 KOBI KTGBM</x:v>
      </x:c>
      <x:c r="D28" s="39" t="str">
        <x:v>Stopień Ochrony [IP]</x:v>
      </x:c>
      <x:c r="E28" s="39" t="str">
        <x:v>(puste)</x:v>
      </x:c>
      <x:c r="F28" s="39" t="str">
        <x:v>IP 65</x:v>
      </x:c>
      <x:c r="G28" s="39" t="str">
        <x:v>aktualny XML Kobi</x:v>
      </x:c>
      <x:c r="H28" s="39" t="str">
        <x:v>IP</x:v>
      </x:c>
      <x:c r="I28" s="52" t="n">
        <x:v>0.97</x:v>
      </x:c>
      <x:c r="J28" s="53" t="str">
        <x:v>OK</x:v>
      </x:c>
      <x:c r="K28" s="39" t="str">
        <x:v>Worksheet!BD14</x:v>
      </x:c>
    </x:row>
    <x:row r="29">
      <x:c r="A29" s="45" t="str">
        <x:v>63878</x:v>
      </x:c>
      <x:c r="B29" s="45" t="str">
        <x:v>002226/KOB</x:v>
      </x:c>
      <x:c r="C29" s="39" t="str">
        <x:v>Lampa Kula Ogrodowa Garden Ball M 280mm Kamień IP65 KOBI KTGBM</x:v>
      </x:c>
      <x:c r="D29" s="39" t="str">
        <x:v>Trzonek</x:v>
      </x:c>
      <x:c r="E29" s="39" t="str">
        <x:v>(puste)</x:v>
      </x:c>
      <x:c r="F29" s="39" t="str">
        <x:v>E27</x:v>
      </x:c>
      <x:c r="G29" s="39" t="str">
        <x:v>aktualny XML Kobi</x:v>
      </x:c>
      <x:c r="H29" s="39" t="str">
        <x:v>Trzonek</x:v>
      </x:c>
      <x:c r="I29" s="52" t="n">
        <x:v>0.97</x:v>
      </x:c>
      <x:c r="J29" s="53" t="str">
        <x:v>OK</x:v>
      </x:c>
      <x:c r="K29" s="39" t="str">
        <x:v>Worksheet!BK14</x:v>
      </x:c>
    </x:row>
    <x:row r="30">
      <x:c r="A30" s="45" t="str">
        <x:v>63879</x:v>
      </x:c>
      <x:c r="B30" s="45" t="str">
        <x:v>002227/KOB</x:v>
      </x:c>
      <x:c r="C30" s="39" t="str">
        <x:v>Lampa Kula Ogrodowa Garden Ball S 250mm Kamień IP65 KOBI KTGBS</x:v>
      </x:c>
      <x:c r="D30" s="39" t="str">
        <x:v>Kolor</x:v>
      </x:c>
      <x:c r="E30" s="39" t="str">
        <x:v>(puste)</x:v>
      </x:c>
      <x:c r="F30" s="39" t="str">
        <x:v>Biały</x:v>
      </x:c>
      <x:c r="G30" s="39" t="str">
        <x:v>aktualny XML Kobi</x:v>
      </x:c>
      <x:c r="H30" s="39" t="str">
        <x:v>Kolor produktu</x:v>
      </x:c>
      <x:c r="I30" s="52" t="n">
        <x:v>0.97</x:v>
      </x:c>
      <x:c r="J30" s="53" t="str">
        <x:v>OK</x:v>
      </x:c>
      <x:c r="K30" s="39" t="str">
        <x:v>Worksheet!T15</x:v>
      </x:c>
    </x:row>
    <x:row r="31">
      <x:c r="A31" s="45" t="str">
        <x:v>63879</x:v>
      </x:c>
      <x:c r="B31" s="45" t="str">
        <x:v>002227/KOB</x:v>
      </x:c>
      <x:c r="C31" s="39" t="str">
        <x:v>Lampa Kula Ogrodowa Garden Ball S 250mm Kamień IP65 KOBI KTGBS</x:v>
      </x:c>
      <x:c r="D31" s="39" t="str">
        <x:v>Napięcie [V]</x:v>
      </x:c>
      <x:c r="E31" s="39" t="str">
        <x:v>(puste)</x:v>
      </x:c>
      <x:c r="F31" s="39" t="str">
        <x:v>230</x:v>
      </x:c>
      <x:c r="G31" s="39" t="str">
        <x:v>aktualny XML Kobi</x:v>
      </x:c>
      <x:c r="H31" s="39" t="str">
        <x:v>Napięcie zasilania</x:v>
      </x:c>
      <x:c r="I31" s="52" t="n">
        <x:v>0.97</x:v>
      </x:c>
      <x:c r="J31" s="53" t="str">
        <x:v>OK</x:v>
      </x:c>
      <x:c r="K31" s="39" t="str">
        <x:v>Worksheet!AF15</x:v>
      </x:c>
    </x:row>
    <x:row r="32">
      <x:c r="A32" s="45" t="str">
        <x:v>63879</x:v>
      </x:c>
      <x:c r="B32" s="45" t="str">
        <x:v>002227/KOB</x:v>
      </x:c>
      <x:c r="C32" s="39" t="str">
        <x:v>Lampa Kula Ogrodowa Garden Ball S 250mm Kamień IP65 KOBI KTGBS</x:v>
      </x:c>
      <x:c r="D32" s="39" t="str">
        <x:v>Stopień Ochrony [IP]</x:v>
      </x:c>
      <x:c r="E32" s="39" t="str">
        <x:v>(puste)</x:v>
      </x:c>
      <x:c r="F32" s="39" t="str">
        <x:v>IP 65</x:v>
      </x:c>
      <x:c r="G32" s="39" t="str">
        <x:v>aktualny XML Kobi</x:v>
      </x:c>
      <x:c r="H32" s="39" t="str">
        <x:v>IP</x:v>
      </x:c>
      <x:c r="I32" s="52" t="n">
        <x:v>0.97</x:v>
      </x:c>
      <x:c r="J32" s="53" t="str">
        <x:v>OK</x:v>
      </x:c>
      <x:c r="K32" s="39" t="str">
        <x:v>Worksheet!BD15</x:v>
      </x:c>
    </x:row>
    <x:row r="33">
      <x:c r="A33" s="45" t="str">
        <x:v>63879</x:v>
      </x:c>
      <x:c r="B33" s="45" t="str">
        <x:v>002227/KOB</x:v>
      </x:c>
      <x:c r="C33" s="39" t="str">
        <x:v>Lampa Kula Ogrodowa Garden Ball S 250mm Kamień IP65 KOBI KTGBS</x:v>
      </x:c>
      <x:c r="D33" s="39" t="str">
        <x:v>Trzonek</x:v>
      </x:c>
      <x:c r="E33" s="39" t="str">
        <x:v>(puste)</x:v>
      </x:c>
      <x:c r="F33" s="39" t="str">
        <x:v>E27</x:v>
      </x:c>
      <x:c r="G33" s="39" t="str">
        <x:v>aktualny XML Kobi</x:v>
      </x:c>
      <x:c r="H33" s="39" t="str">
        <x:v>Trzonek</x:v>
      </x:c>
      <x:c r="I33" s="52" t="n">
        <x:v>0.97</x:v>
      </x:c>
      <x:c r="J33" s="53" t="str">
        <x:v>OK</x:v>
      </x:c>
      <x:c r="K33" s="39" t="str">
        <x:v>Worksheet!BK15</x:v>
      </x:c>
    </x:row>
    <x:row r="34">
      <x:c r="A34" s="45" t="str">
        <x:v>66024</x:v>
      </x:c>
      <x:c r="B34" s="45" t="str">
        <x:v>002097/KOB</x:v>
      </x:c>
      <x:c r="C34" s="39" t="str">
        <x:v>Oprawa tuba ruchoma do nadbudowania OH36S czarna KPOH36SCZ</x:v>
      </x:c>
      <x:c r="D34" s="39" t="str">
        <x:v>Kolor</x:v>
      </x:c>
      <x:c r="E34" s="39" t="str">
        <x:v>(puste)</x:v>
      </x:c>
      <x:c r="F34" s="39" t="str">
        <x:v>Czarny</x:v>
      </x:c>
      <x:c r="G34" s="39" t="str">
        <x:v>aktualny XML Kobi</x:v>
      </x:c>
      <x:c r="H34" s="39" t="str">
        <x:v>Kolor produktu</x:v>
      </x:c>
      <x:c r="I34" s="52" t="n">
        <x:v>0.97</x:v>
      </x:c>
      <x:c r="J34" s="53" t="str">
        <x:v>OK</x:v>
      </x:c>
      <x:c r="K34" s="39" t="str">
        <x:v>Worksheet!T16</x:v>
      </x:c>
    </x:row>
    <x:row r="35">
      <x:c r="A35" s="45" t="str">
        <x:v>66024</x:v>
      </x:c>
      <x:c r="B35" s="45" t="str">
        <x:v>002097/KOB</x:v>
      </x:c>
      <x:c r="C35" s="39" t="str">
        <x:v>Oprawa tuba ruchoma do nadbudowania OH36S czarna KPOH36SCZ</x:v>
      </x:c>
      <x:c r="D35" s="39" t="str">
        <x:v>Napięcie [V]</x:v>
      </x:c>
      <x:c r="E35" s="39" t="str">
        <x:v>(puste)</x:v>
      </x:c>
      <x:c r="F35" s="39" t="str">
        <x:v>230</x:v>
      </x:c>
      <x:c r="G35" s="39" t="str">
        <x:v>aktualny XML Kobi</x:v>
      </x:c>
      <x:c r="H35" s="39" t="str">
        <x:v>Napięcie zasilania</x:v>
      </x:c>
      <x:c r="I35" s="52" t="n">
        <x:v>0.97</x:v>
      </x:c>
      <x:c r="J35" s="53" t="str">
        <x:v>OK</x:v>
      </x:c>
      <x:c r="K35" s="39" t="str">
        <x:v>Worksheet!AF16</x:v>
      </x:c>
    </x:row>
    <x:row r="36">
      <x:c r="A36" s="45" t="str">
        <x:v>66024</x:v>
      </x:c>
      <x:c r="B36" s="45" t="str">
        <x:v>002097/KOB</x:v>
      </x:c>
      <x:c r="C36" s="39" t="str">
        <x:v>Oprawa tuba ruchoma do nadbudowania OH36S czarna KPOH36SCZ</x:v>
      </x:c>
      <x:c r="D36" s="39" t="str">
        <x:v>Stopień Ochrony [IP]</x:v>
      </x:c>
      <x:c r="E36" s="39" t="str">
        <x:v>(puste)</x:v>
      </x:c>
      <x:c r="F36" s="39" t="str">
        <x:v>IP 20</x:v>
      </x:c>
      <x:c r="G36" s="39" t="str">
        <x:v>aktualny XML Kobi</x:v>
      </x:c>
      <x:c r="H36" s="39" t="str">
        <x:v>IP</x:v>
      </x:c>
      <x:c r="I36" s="52" t="n">
        <x:v>0.97</x:v>
      </x:c>
      <x:c r="J36" s="53" t="str">
        <x:v>OK</x:v>
      </x:c>
      <x:c r="K36" s="39" t="str">
        <x:v>Worksheet!BD16</x:v>
      </x:c>
    </x:row>
    <x:row r="37">
      <x:c r="A37" s="45" t="str">
        <x:v>70472</x:v>
      </x:c>
      <x:c r="B37" s="45" t="str">
        <x:v>002333/KOB</x:v>
      </x:c>
      <x:c r="C37" s="39" t="str">
        <x:v>Oprawa najazdowa dogruntowa okrągła GU10 IP65 ENTRADA 2 Kobi KUEA2</x:v>
      </x:c>
      <x:c r="D37" s="39" t="str">
        <x:v>Napięcie [V]</x:v>
      </x:c>
      <x:c r="E37" s="39" t="str">
        <x:v>(puste)</x:v>
      </x:c>
      <x:c r="F37" s="39" t="str">
        <x:v>230</x:v>
      </x:c>
      <x:c r="G37" s="39" t="str">
        <x:v>aktualny XML Kobi</x:v>
      </x:c>
      <x:c r="H37" s="39" t="str">
        <x:v>Napięcie zasilania</x:v>
      </x:c>
      <x:c r="I37" s="52" t="n">
        <x:v>0.97</x:v>
      </x:c>
      <x:c r="J37" s="53" t="str">
        <x:v>OK</x:v>
      </x:c>
      <x:c r="K37" s="39" t="str">
        <x:v>Worksheet!AF17</x:v>
      </x:c>
    </x:row>
    <x:row r="38">
      <x:c r="A38" s="45" t="str">
        <x:v>70472</x:v>
      </x:c>
      <x:c r="B38" s="45" t="str">
        <x:v>002333/KOB</x:v>
      </x:c>
      <x:c r="C38" s="39" t="str">
        <x:v>Oprawa najazdowa dogruntowa okrągła GU10 IP65 ENTRADA 2 Kobi KUEA2</x:v>
      </x:c>
      <x:c r="D38" s="39" t="str">
        <x:v>Stopień Ochrony [IP]</x:v>
      </x:c>
      <x:c r="E38" s="39" t="str">
        <x:v>(puste)</x:v>
      </x:c>
      <x:c r="F38" s="39" t="str">
        <x:v>IP 65</x:v>
      </x:c>
      <x:c r="G38" s="39" t="str">
        <x:v>aktualny XML Kobi</x:v>
      </x:c>
      <x:c r="H38" s="39" t="str">
        <x:v>IP</x:v>
      </x:c>
      <x:c r="I38" s="52" t="n">
        <x:v>0.97</x:v>
      </x:c>
      <x:c r="J38" s="53" t="str">
        <x:v>OK</x:v>
      </x:c>
      <x:c r="K38" s="39" t="str">
        <x:v>Worksheet!BD17</x:v>
      </x:c>
    </x:row>
    <x:row r="39">
      <x:c r="A39" s="45" t="str">
        <x:v>70472</x:v>
      </x:c>
      <x:c r="B39" s="45" t="str">
        <x:v>002333/KOB</x:v>
      </x:c>
      <x:c r="C39" s="39" t="str">
        <x:v>Oprawa najazdowa dogruntowa okrągła GU10 IP65 ENTRADA 2 Kobi KUEA2</x:v>
      </x:c>
      <x:c r="D39" s="39" t="str">
        <x:v>Trzonek</x:v>
      </x:c>
      <x:c r="E39" s="39" t="str">
        <x:v>(puste)</x:v>
      </x:c>
      <x:c r="F39" s="39" t="str">
        <x:v>GU10</x:v>
      </x:c>
      <x:c r="G39" s="39" t="str">
        <x:v>aktualny XML Kobi</x:v>
      </x:c>
      <x:c r="H39" s="39" t="str">
        <x:v>Trzonek</x:v>
      </x:c>
      <x:c r="I39" s="52" t="n">
        <x:v>0.97</x:v>
      </x:c>
      <x:c r="J39" s="53" t="str">
        <x:v>OK</x:v>
      </x:c>
      <x:c r="K39" s="39" t="str">
        <x:v>Worksheet!BK17</x:v>
      </x:c>
    </x:row>
    <x:row r="40">
      <x:c r="A40" s="45" t="str">
        <x:v>70472</x:v>
      </x:c>
      <x:c r="B40" s="45" t="str">
        <x:v>002333/KOB</x:v>
      </x:c>
      <x:c r="C40" s="39" t="str">
        <x:v>Oprawa najazdowa dogruntowa okrągła GU10 IP65 ENTRADA 2 Kobi KUEA2</x:v>
      </x:c>
      <x:c r="D40" s="39" t="str">
        <x:v>Kształt</x:v>
      </x:c>
      <x:c r="E40" s="39" t="str">
        <x:v>(puste)</x:v>
      </x:c>
      <x:c r="F40" s="39" t="str">
        <x:v>Okrągły</x:v>
      </x:c>
      <x:c r="G40" s="39" t="str">
        <x:v>aktualny XML Kobi</x:v>
      </x:c>
      <x:c r="H40" s="39" t="str">
        <x:v>wartość wywnioskowana z nazwy producenta</x:v>
      </x:c>
      <x:c r="I40" s="52" t="n">
        <x:v>0.86</x:v>
      </x:c>
      <x:c r="J40" s="53" t="str">
        <x:v>WARNING</x:v>
      </x:c>
      <x:c r="K40" s="39" t="str">
        <x:v>Worksheet!BZ17</x:v>
      </x:c>
    </x:row>
    <x:row r="41">
      <x:c r="A41" s="45" t="str">
        <x:v>82177</x:v>
      </x:c>
      <x:c r="B41" s="45" t="str">
        <x:v>001713/KOB</x:v>
      </x:c>
      <x:c r="C41" s="39" t="str">
        <x:v>Oprawa LED HIGH BAY NINA 200W 32000lm 4000K neutralna IP65 Kobi KFNA20114</x:v>
      </x:c>
      <x:c r="D41" s="39" t="str">
        <x:v>Kąt świecenia [°]</x:v>
      </x:c>
      <x:c r="E41" s="39" t="str">
        <x:v>(puste)</x:v>
      </x:c>
      <x:c r="F41" s="39" t="str">
        <x:v>110</x:v>
      </x:c>
      <x:c r="G41" s="39" t="str">
        <x:v>aktualny XML Kobi</x:v>
      </x:c>
      <x:c r="H41" s="39" t="str">
        <x:v>Kąt świecenia [°]</x:v>
      </x:c>
      <x:c r="I41" s="52" t="n">
        <x:v>0.97</x:v>
      </x:c>
      <x:c r="J41" s="53" t="str">
        <x:v>OK</x:v>
      </x:c>
      <x:c r="K41" s="39" t="str">
        <x:v>Worksheet!Q20</x:v>
      </x:c>
    </x:row>
    <x:row r="42">
      <x:c r="A42" s="45" t="str">
        <x:v>82177</x:v>
      </x:c>
      <x:c r="B42" s="45" t="str">
        <x:v>001713/KOB</x:v>
      </x:c>
      <x:c r="C42" s="39" t="str">
        <x:v>Oprawa LED HIGH BAY NINA 200W 32000lm 4000K neutralna IP65 Kobi KFNA20114</x:v>
      </x:c>
      <x:c r="D42" s="39" t="str">
        <x:v>Kolor</x:v>
      </x:c>
      <x:c r="E42" s="39" t="str">
        <x:v>(puste)</x:v>
      </x:c>
      <x:c r="F42" s="39" t="str">
        <x:v>Czarny</x:v>
      </x:c>
      <x:c r="G42" s="39" t="str">
        <x:v>aktualny XML Kobi</x:v>
      </x:c>
      <x:c r="H42" s="39" t="str">
        <x:v>Kolor produktu</x:v>
      </x:c>
      <x:c r="I42" s="52" t="n">
        <x:v>0.97</x:v>
      </x:c>
      <x:c r="J42" s="53" t="str">
        <x:v>OK</x:v>
      </x:c>
      <x:c r="K42" s="39" t="str">
        <x:v>Worksheet!T20</x:v>
      </x:c>
    </x:row>
    <x:row r="43">
      <x:c r="A43" s="45" t="str">
        <x:v>82177</x:v>
      </x:c>
      <x:c r="B43" s="45" t="str">
        <x:v>001713/KOB</x:v>
      </x:c>
      <x:c r="C43" s="39" t="str">
        <x:v>Oprawa LED HIGH BAY NINA 200W 32000lm 4000K neutralna IP65 Kobi KFNA20114</x:v>
      </x:c>
      <x:c r="D43" s="39" t="str">
        <x:v>Napięcie [V]</x:v>
      </x:c>
      <x:c r="E43" s="39" t="str">
        <x:v>(puste)</x:v>
      </x:c>
      <x:c r="F43" s="39" t="str">
        <x:v>230</x:v>
      </x:c>
      <x:c r="G43" s="39" t="str">
        <x:v>aktualny XML Kobi</x:v>
      </x:c>
      <x:c r="H43" s="39" t="str">
        <x:v>Napięcie zasilania</x:v>
      </x:c>
      <x:c r="I43" s="52" t="n">
        <x:v>0.97</x:v>
      </x:c>
      <x:c r="J43" s="53" t="str">
        <x:v>OK</x:v>
      </x:c>
      <x:c r="K43" s="39" t="str">
        <x:v>Worksheet!AF20</x:v>
      </x:c>
    </x:row>
    <x:row r="44">
      <x:c r="A44" s="45" t="str">
        <x:v>83856</x:v>
      </x:c>
      <x:c r="B44" s="45" t="str">
        <x:v>001635/KOB</x:v>
      </x:c>
      <x:c r="C44" s="39" t="str">
        <x:v>Naświetlacz SOLARNY LED NCS 10W 6500K zimny LED2B Kobi KFLNCS10ZB</x:v>
      </x:c>
      <x:c r="D44" s="39" t="str">
        <x:v>Kąt świecenia [°]</x:v>
      </x:c>
      <x:c r="E44" s="39" t="str">
        <x:v>(puste)</x:v>
      </x:c>
      <x:c r="F44" s="39" t="str">
        <x:v>100</x:v>
      </x:c>
      <x:c r="G44" s="39" t="str">
        <x:v>aktualny XML Kobi</x:v>
      </x:c>
      <x:c r="H44" s="39" t="str">
        <x:v>Kąt świecenia [°]</x:v>
      </x:c>
      <x:c r="I44" s="52" t="n">
        <x:v>0.97</x:v>
      </x:c>
      <x:c r="J44" s="53" t="str">
        <x:v>OK</x:v>
      </x:c>
      <x:c r="K44" s="39" t="str">
        <x:v>Worksheet!Q21</x:v>
      </x:c>
    </x:row>
    <x:row r="45">
      <x:c r="A45" s="45" t="str">
        <x:v>83856</x:v>
      </x:c>
      <x:c r="B45" s="45" t="str">
        <x:v>001635/KOB</x:v>
      </x:c>
      <x:c r="C45" s="39" t="str">
        <x:v>Naświetlacz SOLARNY LED NCS 10W 6500K zimny LED2B Kobi KFLNCS10ZB</x:v>
      </x:c>
      <x:c r="D45" s="39" t="str">
        <x:v>Napięcie [V]</x:v>
      </x:c>
      <x:c r="E45" s="39" t="str">
        <x:v>(puste)</x:v>
      </x:c>
      <x:c r="F45" s="39" t="str">
        <x:v>3</x:v>
      </x:c>
      <x:c r="G45" s="39" t="str">
        <x:v>aktualny XML Kobi</x:v>
      </x:c>
      <x:c r="H45" s="39" t="str">
        <x:v>Napięcie zasilania</x:v>
      </x:c>
      <x:c r="I45" s="52" t="n">
        <x:v>0.97</x:v>
      </x:c>
      <x:c r="J45" s="53" t="str">
        <x:v>OK</x:v>
      </x:c>
      <x:c r="K45" s="39" t="str">
        <x:v>Worksheet!AF21</x:v>
      </x:c>
    </x:row>
    <x:row r="46">
      <x:c r="A46" s="45" t="str">
        <x:v>83857</x:v>
      </x:c>
      <x:c r="B46" s="45" t="str">
        <x:v>001636/KOB</x:v>
      </x:c>
      <x:c r="C46" s="39" t="str">
        <x:v>Naświetlacz SOLARNY LED NCS 20W 6500K zimny LED2B Kobi KFLNCS20ZB</x:v>
      </x:c>
      <x:c r="D46" s="39" t="str">
        <x:v>Kąt świecenia [°]</x:v>
      </x:c>
      <x:c r="E46" s="39" t="str">
        <x:v>(puste)</x:v>
      </x:c>
      <x:c r="F46" s="39" t="str">
        <x:v>100</x:v>
      </x:c>
      <x:c r="G46" s="39" t="str">
        <x:v>aktualny XML Kobi</x:v>
      </x:c>
      <x:c r="H46" s="39" t="str">
        <x:v>Kąt świecenia [°]</x:v>
      </x:c>
      <x:c r="I46" s="52" t="n">
        <x:v>0.97</x:v>
      </x:c>
      <x:c r="J46" s="53" t="str">
        <x:v>OK</x:v>
      </x:c>
      <x:c r="K46" s="39" t="str">
        <x:v>Worksheet!Q22</x:v>
      </x:c>
    </x:row>
    <x:row r="47">
      <x:c r="A47" s="45" t="str">
        <x:v>83857</x:v>
      </x:c>
      <x:c r="B47" s="45" t="str">
        <x:v>001636/KOB</x:v>
      </x:c>
      <x:c r="C47" s="39" t="str">
        <x:v>Naświetlacz SOLARNY LED NCS 20W 6500K zimny LED2B Kobi KFLNCS20ZB</x:v>
      </x:c>
      <x:c r="D47" s="39" t="str">
        <x:v>Napięcie [V]</x:v>
      </x:c>
      <x:c r="E47" s="39" t="str">
        <x:v>(puste)</x:v>
      </x:c>
      <x:c r="F47" s="39" t="str">
        <x:v>3</x:v>
      </x:c>
      <x:c r="G47" s="39" t="str">
        <x:v>aktualny XML Kobi</x:v>
      </x:c>
      <x:c r="H47" s="39" t="str">
        <x:v>Napięcie zasilania</x:v>
      </x:c>
      <x:c r="I47" s="52" t="n">
        <x:v>0.97</x:v>
      </x:c>
      <x:c r="J47" s="53" t="str">
        <x:v>OK</x:v>
      </x:c>
      <x:c r="K47" s="39" t="str">
        <x:v>Worksheet!AF22</x:v>
      </x:c>
    </x:row>
    <x:row r="48">
      <x:c r="A48" s="45" t="str">
        <x:v>86192</x:v>
      </x:c>
      <x:c r="B48" s="45" t="str">
        <x:v>002095/KOB</x:v>
      </x:c>
      <x:c r="C48" s="39" t="str">
        <x:v>Oprawa tuba ruchoma do nadbudowania OH36S biała KPOH36SBI</x:v>
      </x:c>
      <x:c r="D48" s="39" t="str">
        <x:v>Kolor</x:v>
      </x:c>
      <x:c r="E48" s="39" t="str">
        <x:v>(puste)</x:v>
      </x:c>
      <x:c r="F48" s="39" t="str">
        <x:v>Biały</x:v>
      </x:c>
      <x:c r="G48" s="39" t="str">
        <x:v>aktualny XML Kobi</x:v>
      </x:c>
      <x:c r="H48" s="39" t="str">
        <x:v>Kolor produktu</x:v>
      </x:c>
      <x:c r="I48" s="52" t="n">
        <x:v>0.97</x:v>
      </x:c>
      <x:c r="J48" s="53" t="str">
        <x:v>OK</x:v>
      </x:c>
      <x:c r="K48" s="39" t="str">
        <x:v>Worksheet!T23</x:v>
      </x:c>
    </x:row>
    <x:row r="49">
      <x:c r="A49" s="45" t="str">
        <x:v>86192</x:v>
      </x:c>
      <x:c r="B49" s="45" t="str">
        <x:v>002095/KOB</x:v>
      </x:c>
      <x:c r="C49" s="39" t="str">
        <x:v>Oprawa tuba ruchoma do nadbudowania OH36S biała KPOH36SBI</x:v>
      </x:c>
      <x:c r="D49" s="39" t="str">
        <x:v>Napięcie [V]</x:v>
      </x:c>
      <x:c r="E49" s="39" t="str">
        <x:v>(puste)</x:v>
      </x:c>
      <x:c r="F49" s="39" t="str">
        <x:v>230</x:v>
      </x:c>
      <x:c r="G49" s="39" t="str">
        <x:v>aktualny XML Kobi</x:v>
      </x:c>
      <x:c r="H49" s="39" t="str">
        <x:v>Napięcie zasilania</x:v>
      </x:c>
      <x:c r="I49" s="52" t="n">
        <x:v>0.97</x:v>
      </x:c>
      <x:c r="J49" s="53" t="str">
        <x:v>OK</x:v>
      </x:c>
      <x:c r="K49" s="39" t="str">
        <x:v>Worksheet!AF23</x:v>
      </x:c>
    </x:row>
    <x:row r="50">
      <x:c r="A50" s="45" t="str">
        <x:v>86192</x:v>
      </x:c>
      <x:c r="B50" s="45" t="str">
        <x:v>002095/KOB</x:v>
      </x:c>
      <x:c r="C50" s="39" t="str">
        <x:v>Oprawa tuba ruchoma do nadbudowania OH36S biała KPOH36SBI</x:v>
      </x:c>
      <x:c r="D50" s="39" t="str">
        <x:v>Stopień Ochrony [IP]</x:v>
      </x:c>
      <x:c r="E50" s="39" t="str">
        <x:v>(puste)</x:v>
      </x:c>
      <x:c r="F50" s="39" t="str">
        <x:v>IP 20</x:v>
      </x:c>
      <x:c r="G50" s="39" t="str">
        <x:v>aktualny XML Kobi</x:v>
      </x:c>
      <x:c r="H50" s="39" t="str">
        <x:v>IP</x:v>
      </x:c>
      <x:c r="I50" s="52" t="n">
        <x:v>0.97</x:v>
      </x:c>
      <x:c r="J50" s="53" t="str">
        <x:v>OK</x:v>
      </x:c>
      <x:c r="K50" s="39" t="str">
        <x:v>Worksheet!BD23</x:v>
      </x:c>
    </x:row>
    <x:row r="51">
      <x:c r="A51" s="45" t="str">
        <x:v>99579</x:v>
      </x:c>
      <x:c r="B51" s="45" t="str">
        <x:v>002223/KOB</x:v>
      </x:c>
      <x:c r="C51" s="39" t="str">
        <x:v>Oprawa ogrodowa kinkiet elewacyjny ENTERA 10W 4000K IP54 KTEACZ</x:v>
      </x:c>
      <x:c r="D51" s="39" t="str">
        <x:v>Moc [W]</x:v>
      </x:c>
      <x:c r="E51" s="39" t="str">
        <x:v>(puste)</x:v>
      </x:c>
      <x:c r="F51" s="39" t="str">
        <x:v>10</x:v>
      </x:c>
      <x:c r="G51" s="39" t="str">
        <x:v>archiwalny XML Kobi</x:v>
      </x:c>
      <x:c r="H51" s="39" t="str">
        <x:v>Moc [W]</x:v>
      </x:c>
      <x:c r="I51" s="52" t="n">
        <x:v>0.9</x:v>
      </x:c>
      <x:c r="J51" s="53" t="str">
        <x:v>WARNING</x:v>
      </x:c>
      <x:c r="K51" s="39" t="str">
        <x:v>Worksheet!AC24</x:v>
      </x:c>
    </x:row>
    <x:row r="52">
      <x:c r="A52" s="45" t="str">
        <x:v>99580</x:v>
      </x:c>
      <x:c r="B52" s="45" t="str">
        <x:v>002224/KOB</x:v>
      </x:c>
      <x:c r="C52" s="39" t="str">
        <x:v>Oprawa ogrodowa kinkiet elewacyjny ENTERA P 10W 4000K IP54 KOBI KTEAPCZ</x:v>
      </x:c>
      <x:c r="D52" s="39" t="str">
        <x:v>Moc [W]</x:v>
      </x:c>
      <x:c r="E52" s="39" t="str">
        <x:v>(puste)</x:v>
      </x:c>
      <x:c r="F52" s="39" t="str">
        <x:v>10</x:v>
      </x:c>
      <x:c r="G52" s="39" t="str">
        <x:v>aktualny XML Kobi</x:v>
      </x:c>
      <x:c r="H52" s="39" t="str">
        <x:v>Moc [W]</x:v>
      </x:c>
      <x:c r="I52" s="52" t="n">
        <x:v>0.97</x:v>
      </x:c>
      <x:c r="J52" s="53" t="str">
        <x:v>OK</x:v>
      </x:c>
      <x:c r="K52" s="39" t="str">
        <x:v>Worksheet!AC25</x:v>
      </x:c>
    </x:row>
    <x:row r="53">
      <x:c r="A53" s="45" t="str">
        <x:v>100654</x:v>
      </x:c>
      <x:c r="B53" s="45" t="str">
        <x:v>001881/KOB</x:v>
      </x:c>
      <x:c r="C53" s="39" t="str">
        <x:v>Oprawa uliczna LED VESPA PRO 40W 4000K neutralna 5600 lm KOBI KFVP40NBAS</x:v>
      </x:c>
      <x:c r="D53" s="39" t="str">
        <x:v>Napięcie [V]</x:v>
      </x:c>
      <x:c r="E53" s="39" t="str">
        <x:v>(puste)</x:v>
      </x:c>
      <x:c r="F53" s="39" t="str">
        <x:v>230</x:v>
      </x:c>
      <x:c r="G53" s="39" t="str">
        <x:v>aktualny XML Kobi</x:v>
      </x:c>
      <x:c r="H53" s="39" t="str">
        <x:v>Napięcie zasilania</x:v>
      </x:c>
      <x:c r="I53" s="52" t="n">
        <x:v>0.97</x:v>
      </x:c>
      <x:c r="J53" s="53" t="str">
        <x:v>OK</x:v>
      </x:c>
      <x:c r="K53" s="39" t="str">
        <x:v>Worksheet!AF26</x:v>
      </x:c>
    </x:row>
    <x:row r="54">
      <x:c r="A54" s="45" t="str">
        <x:v>100655</x:v>
      </x:c>
      <x:c r="B54" s="45" t="str">
        <x:v>001882/KOB</x:v>
      </x:c>
      <x:c r="C54" s="39" t="str">
        <x:v>Oprawa uliczna LED VESPA PRO 60W 4000K neutralna 8400lm KOBI KFVP60NBAS</x:v>
      </x:c>
      <x:c r="D54" s="39" t="str">
        <x:v>Napięcie [V]</x:v>
      </x:c>
      <x:c r="E54" s="39" t="str">
        <x:v>(puste)</x:v>
      </x:c>
      <x:c r="F54" s="39" t="str">
        <x:v>230</x:v>
      </x:c>
      <x:c r="G54" s="39" t="str">
        <x:v>aktualny XML Kobi</x:v>
      </x:c>
      <x:c r="H54" s="39" t="str">
        <x:v>Napięcie zasilania</x:v>
      </x:c>
      <x:c r="I54" s="52" t="n">
        <x:v>0.97</x:v>
      </x:c>
      <x:c r="J54" s="53" t="str">
        <x:v>OK</x:v>
      </x:c>
      <x:c r="K54" s="39" t="str">
        <x:v>Worksheet!AF27</x:v>
      </x:c>
    </x:row>
    <x:row r="55">
      <x:c r="A55" s="45" t="str">
        <x:v>100656</x:v>
      </x:c>
      <x:c r="B55" s="45" t="str">
        <x:v>001876/KOB</x:v>
      </x:c>
      <x:c r="C55" s="39" t="str">
        <x:v>Oprawa uliczna LED VESPA PRO 100W 4000K neutralna 14000lm KOBI KFVP100NBAS</x:v>
      </x:c>
      <x:c r="D55" s="39" t="str">
        <x:v>Napięcie [V]</x:v>
      </x:c>
      <x:c r="E55" s="39" t="str">
        <x:v>(puste)</x:v>
      </x:c>
      <x:c r="F55" s="39" t="str">
        <x:v>230</x:v>
      </x:c>
      <x:c r="G55" s="39" t="str">
        <x:v>aktualny XML Kobi</x:v>
      </x:c>
      <x:c r="H55" s="39" t="str">
        <x:v>Napięcie zasilania</x:v>
      </x:c>
      <x:c r="I55" s="52" t="n">
        <x:v>0.97</x:v>
      </x:c>
      <x:c r="J55" s="53" t="str">
        <x:v>OK</x:v>
      </x:c>
      <x:c r="K55" s="39" t="str">
        <x:v>Worksheet!AF28</x:v>
      </x:c>
    </x:row>
    <x:row r="56">
      <x:c r="A56" s="45" t="str">
        <x:v>100657</x:v>
      </x:c>
      <x:c r="B56" s="45" t="str">
        <x:v>001877/KOB</x:v>
      </x:c>
      <x:c r="C56" s="39" t="str">
        <x:v>Oprawa uliczna LED VESPA PRO 150 W 4000K neutralna 20250lm KOBI KFVP150NBAS</x:v>
      </x:c>
      <x:c r="D56" s="39" t="str">
        <x:v>Napięcie [V]</x:v>
      </x:c>
      <x:c r="E56" s="39" t="str">
        <x:v>(puste)</x:v>
      </x:c>
      <x:c r="F56" s="39" t="str">
        <x:v>230</x:v>
      </x:c>
      <x:c r="G56" s="39" t="str">
        <x:v>aktualny XML Kobi</x:v>
      </x:c>
      <x:c r="H56" s="39" t="str">
        <x:v>Napięcie zasilania</x:v>
      </x:c>
      <x:c r="I56" s="52" t="n">
        <x:v>0.97</x:v>
      </x:c>
      <x:c r="J56" s="53" t="str">
        <x:v>OK</x:v>
      </x:c>
      <x:c r="K56" s="39" t="str">
        <x:v>Worksheet!AF29</x:v>
      </x:c>
    </x:row>
    <x:row r="57">
      <x:c r="A57" s="45" t="str">
        <x:v>114149</x:v>
      </x:c>
      <x:c r="B57" s="45" t="str">
        <x:v>001814/KOB</x:v>
      </x:c>
      <x:c r="C57" s="39" t="str">
        <x:v>Naświetlacz Solarny LED MHCS 10W PREMIUM barwa neutralna KOBI KFNSR10NB</x:v>
      </x:c>
      <x:c r="D57" s="39" t="str">
        <x:v>Kąt świecenia [°]</x:v>
      </x:c>
      <x:c r="E57" s="39" t="str">
        <x:v>(puste)</x:v>
      </x:c>
      <x:c r="F57" s="39" t="str">
        <x:v>120</x:v>
      </x:c>
      <x:c r="G57" s="39" t="str">
        <x:v>aktualny XML Kobi</x:v>
      </x:c>
      <x:c r="H57" s="39" t="str">
        <x:v>Kąt świecenia [°]</x:v>
      </x:c>
      <x:c r="I57" s="52" t="n">
        <x:v>0.97</x:v>
      </x:c>
      <x:c r="J57" s="53" t="str">
        <x:v>OK</x:v>
      </x:c>
      <x:c r="K57" s="39" t="str">
        <x:v>Worksheet!Q31</x:v>
      </x:c>
    </x:row>
    <x:row r="58">
      <x:c r="A58" s="45" t="str">
        <x:v>114149</x:v>
      </x:c>
      <x:c r="B58" s="45" t="str">
        <x:v>001814/KOB</x:v>
      </x:c>
      <x:c r="C58" s="39" t="str">
        <x:v>Naświetlacz Solarny LED MHCS 10W PREMIUM barwa neutralna KOBI KFNSR10NB</x:v>
      </x:c>
      <x:c r="D58" s="39" t="str">
        <x:v>Kolor</x:v>
      </x:c>
      <x:c r="E58" s="39" t="str">
        <x:v>(puste)</x:v>
      </x:c>
      <x:c r="F58" s="39" t="str">
        <x:v>Czarny</x:v>
      </x:c>
      <x:c r="G58" s="39" t="str">
        <x:v>aktualny XML Kobi</x:v>
      </x:c>
      <x:c r="H58" s="39" t="str">
        <x:v>Kolor produktu</x:v>
      </x:c>
      <x:c r="I58" s="52" t="n">
        <x:v>0.97</x:v>
      </x:c>
      <x:c r="J58" s="53" t="str">
        <x:v>OK</x:v>
      </x:c>
      <x:c r="K58" s="39" t="str">
        <x:v>Worksheet!T31</x:v>
      </x:c>
    </x:row>
    <x:row r="59">
      <x:c r="A59" s="45" t="str">
        <x:v>114149</x:v>
      </x:c>
      <x:c r="B59" s="45" t="str">
        <x:v>001814/KOB</x:v>
      </x:c>
      <x:c r="C59" s="39" t="str">
        <x:v>Naświetlacz Solarny LED MHCS 10W PREMIUM barwa neutralna KOBI KFNSR10NB</x:v>
      </x:c>
      <x:c r="D59" s="39" t="str">
        <x:v>Napięcie [V]</x:v>
      </x:c>
      <x:c r="E59" s="39" t="str">
        <x:v>(puste)</x:v>
      </x:c>
      <x:c r="F59" s="39" t="str">
        <x:v>3</x:v>
      </x:c>
      <x:c r="G59" s="39" t="str">
        <x:v>aktualny XML Kobi</x:v>
      </x:c>
      <x:c r="H59" s="39" t="str">
        <x:v>Napięcie zasilania</x:v>
      </x:c>
      <x:c r="I59" s="52" t="n">
        <x:v>0.97</x:v>
      </x:c>
      <x:c r="J59" s="53" t="str">
        <x:v>OK</x:v>
      </x:c>
      <x:c r="K59" s="39" t="str">
        <x:v>Worksheet!AF31</x:v>
      </x:c>
    </x:row>
    <x:row r="60">
      <x:c r="A60" s="45" t="str">
        <x:v>125826</x:v>
      </x:c>
      <x:c r="B60" s="45" t="str">
        <x:v>002243/KOB</x:v>
      </x:c>
      <x:c r="C60" s="39" t="str">
        <x:v>Oprawa najazdowa kwadratowa GU10 IP67 INGRESS SQUARE CHROM KTLIOSE</x:v>
      </x:c>
      <x:c r="D60" s="39" t="str">
        <x:v>Napięcie [V]</x:v>
      </x:c>
      <x:c r="E60" s="39" t="str">
        <x:v>(puste)</x:v>
      </x:c>
      <x:c r="F60" s="39" t="str">
        <x:v>230</x:v>
      </x:c>
      <x:c r="G60" s="39" t="str">
        <x:v>aktualny XML Kobi</x:v>
      </x:c>
      <x:c r="H60" s="39" t="str">
        <x:v>Napięcie zasilania</x:v>
      </x:c>
      <x:c r="I60" s="52" t="n">
        <x:v>0.97</x:v>
      </x:c>
      <x:c r="J60" s="53" t="str">
        <x:v>OK</x:v>
      </x:c>
      <x:c r="K60" s="39" t="str">
        <x:v>Worksheet!AF32</x:v>
      </x:c>
    </x:row>
    <x:row r="61">
      <x:c r="A61" s="45" t="str">
        <x:v>125826</x:v>
      </x:c>
      <x:c r="B61" s="45" t="str">
        <x:v>002243/KOB</x:v>
      </x:c>
      <x:c r="C61" s="39" t="str">
        <x:v>Oprawa najazdowa kwadratowa GU10 IP67 INGRESS SQUARE CHROM KTLIOSE</x:v>
      </x:c>
      <x:c r="D61" s="39" t="str">
        <x:v>Stopień Ochrony [IP]</x:v>
      </x:c>
      <x:c r="E61" s="39" t="str">
        <x:v>(puste)</x:v>
      </x:c>
      <x:c r="F61" s="39" t="str">
        <x:v>IP 67</x:v>
      </x:c>
      <x:c r="G61" s="39" t="str">
        <x:v>aktualny XML Kobi</x:v>
      </x:c>
      <x:c r="H61" s="39" t="str">
        <x:v>IP</x:v>
      </x:c>
      <x:c r="I61" s="52" t="n">
        <x:v>0.97</x:v>
      </x:c>
      <x:c r="J61" s="53" t="str">
        <x:v>OK</x:v>
      </x:c>
      <x:c r="K61" s="39" t="str">
        <x:v>Worksheet!BD32</x:v>
      </x:c>
    </x:row>
    <x:row r="62">
      <x:c r="A62" s="45" t="str">
        <x:v>125826</x:v>
      </x:c>
      <x:c r="B62" s="45" t="str">
        <x:v>002243/KOB</x:v>
      </x:c>
      <x:c r="C62" s="39" t="str">
        <x:v>Oprawa najazdowa kwadratowa GU10 IP67 INGRESS SQUARE CHROM KTLIOSE</x:v>
      </x:c>
      <x:c r="D62" s="39" t="str">
        <x:v>Trzonek</x:v>
      </x:c>
      <x:c r="E62" s="39" t="str">
        <x:v>(puste)</x:v>
      </x:c>
      <x:c r="F62" s="39" t="str">
        <x:v>GU10</x:v>
      </x:c>
      <x:c r="G62" s="39" t="str">
        <x:v>aktualny XML Kobi</x:v>
      </x:c>
      <x:c r="H62" s="39" t="str">
        <x:v>Trzonek</x:v>
      </x:c>
      <x:c r="I62" s="52" t="n">
        <x:v>0.97</x:v>
      </x:c>
      <x:c r="J62" s="53" t="str">
        <x:v>OK</x:v>
      </x:c>
      <x:c r="K62" s="39" t="str">
        <x:v>Worksheet!BK32</x:v>
      </x:c>
    </x:row>
    <x:row r="63">
      <x:c r="A63" s="45" t="str">
        <x:v>125826</x:v>
      </x:c>
      <x:c r="B63" s="45" t="str">
        <x:v>002243/KOB</x:v>
      </x:c>
      <x:c r="C63" s="39" t="str">
        <x:v>Oprawa najazdowa kwadratowa GU10 IP67 INGRESS SQUARE CHROM KTLIOSE</x:v>
      </x:c>
      <x:c r="D63" s="39" t="str">
        <x:v>Kształt</x:v>
      </x:c>
      <x:c r="E63" s="39" t="str">
        <x:v>(puste)</x:v>
      </x:c>
      <x:c r="F63" s="39" t="str">
        <x:v>Kwadrat</x:v>
      </x:c>
      <x:c r="G63" s="39" t="str">
        <x:v>aktualny XML Kobi</x:v>
      </x:c>
      <x:c r="H63" s="39" t="str">
        <x:v>wartość wywnioskowana z nazwy producenta</x:v>
      </x:c>
      <x:c r="I63" s="52" t="n">
        <x:v>0.86</x:v>
      </x:c>
      <x:c r="J63" s="53" t="str">
        <x:v>WARNING</x:v>
      </x:c>
      <x:c r="K63" s="39" t="str">
        <x:v>Worksheet!BZ32</x:v>
      </x:c>
    </x:row>
    <x:row r="64">
      <x:c r="A64" s="45" t="str">
        <x:v>134785</x:v>
      </x:c>
      <x:c r="B64" s="45" t="str">
        <x:v>001623/KOB</x:v>
      </x:c>
      <x:c r="C64" s="39" t="str">
        <x:v>Oprawa belka LED 40W 4000K 4800lm 120cm KOLINE K1 professional line Kobi KFKE40WNBCZ</x:v>
      </x:c>
      <x:c r="D64" s="39" t="str">
        <x:v>Napięcie [V]</x:v>
      </x:c>
      <x:c r="E64" s="39" t="str">
        <x:v>(puste)</x:v>
      </x:c>
      <x:c r="F64" s="39" t="str">
        <x:v>230</x:v>
      </x:c>
      <x:c r="G64" s="39" t="str">
        <x:v>aktualny XML Kobi</x:v>
      </x:c>
      <x:c r="H64" s="39" t="str">
        <x:v>Napięcie zasilania</x:v>
      </x:c>
      <x:c r="I64" s="52" t="n">
        <x:v>0.97</x:v>
      </x:c>
      <x:c r="J64" s="53" t="str">
        <x:v>OK</x:v>
      </x:c>
      <x:c r="K64" s="39" t="str">
        <x:v>Worksheet!AF33</x:v>
      </x:c>
    </x:row>
    <x:row r="65">
      <x:c r="A65" s="45" t="str">
        <x:v>134796</x:v>
      </x:c>
      <x:c r="B65" s="45" t="str">
        <x:v>001620/KOB</x:v>
      </x:c>
      <x:c r="C65" s="39" t="str">
        <x:v>Oprawa belka LED 40W 4000K 5200lm 120cm KOLINE K1 biała professional line Kobi KFKE40WNBBI</x:v>
      </x:c>
      <x:c r="D65" s="39" t="str">
        <x:v>Napięcie [V]</x:v>
      </x:c>
      <x:c r="E65" s="39" t="str">
        <x:v>(puste)</x:v>
      </x:c>
      <x:c r="F65" s="39" t="str">
        <x:v>230</x:v>
      </x:c>
      <x:c r="G65" s="39" t="str">
        <x:v>aktualny XML Kobi</x:v>
      </x:c>
      <x:c r="H65" s="39" t="str">
        <x:v>Napięcie zasilania</x:v>
      </x:c>
      <x:c r="I65" s="52" t="n">
        <x:v>0.97</x:v>
      </x:c>
      <x:c r="J65" s="53" t="str">
        <x:v>OK</x:v>
      </x:c>
      <x:c r="K65" s="39" t="str">
        <x:v>Worksheet!AF34</x:v>
      </x:c>
    </x:row>
    <x:row r="66">
      <x:c r="A66" s="45" t="str">
        <x:v>134805</x:v>
      </x:c>
      <x:c r="B66" s="45" t="str">
        <x:v>001840/KOB</x:v>
      </x:c>
      <x:c r="C66" s="39" t="str">
        <x:v>Oprawa przemysłowa HIGH BAY LED 100W 4000K 14000lm RIO PRO Kobi KFRP100NB</x:v>
      </x:c>
      <x:c r="D66" s="39" t="str">
        <x:v>Kąt świecenia [°]</x:v>
      </x:c>
      <x:c r="E66" s="39" t="str">
        <x:v>(puste)</x:v>
      </x:c>
      <x:c r="F66" s="39" t="str">
        <x:v>120</x:v>
      </x:c>
      <x:c r="G66" s="39" t="str">
        <x:v>aktualny XML Kobi</x:v>
      </x:c>
      <x:c r="H66" s="39" t="str">
        <x:v>Kąt świecenia [°]</x:v>
      </x:c>
      <x:c r="I66" s="52" t="n">
        <x:v>0.97</x:v>
      </x:c>
      <x:c r="J66" s="53" t="str">
        <x:v>OK</x:v>
      </x:c>
      <x:c r="K66" s="39" t="str">
        <x:v>Worksheet!Q35</x:v>
      </x:c>
    </x:row>
    <x:row r="67">
      <x:c r="A67" s="45" t="str">
        <x:v>134805</x:v>
      </x:c>
      <x:c r="B67" s="45" t="str">
        <x:v>001840/KOB</x:v>
      </x:c>
      <x:c r="C67" s="39" t="str">
        <x:v>Oprawa przemysłowa HIGH BAY LED 100W 4000K 14000lm RIO PRO Kobi KFRP100NB</x:v>
      </x:c>
      <x:c r="D67" s="39" t="str">
        <x:v>Kolor</x:v>
      </x:c>
      <x:c r="E67" s="39" t="str">
        <x:v>(puste)</x:v>
      </x:c>
      <x:c r="F67" s="39" t="str">
        <x:v>Czarny</x:v>
      </x:c>
      <x:c r="G67" s="39" t="str">
        <x:v>aktualny XML Kobi</x:v>
      </x:c>
      <x:c r="H67" s="39" t="str">
        <x:v>Kolor produktu</x:v>
      </x:c>
      <x:c r="I67" s="52" t="n">
        <x:v>0.97</x:v>
      </x:c>
      <x:c r="J67" s="53" t="str">
        <x:v>OK</x:v>
      </x:c>
      <x:c r="K67" s="39" t="str">
        <x:v>Worksheet!T35</x:v>
      </x:c>
    </x:row>
    <x:row r="68">
      <x:c r="A68" s="45" t="str">
        <x:v>134805</x:v>
      </x:c>
      <x:c r="B68" s="45" t="str">
        <x:v>001840/KOB</x:v>
      </x:c>
      <x:c r="C68" s="39" t="str">
        <x:v>Oprawa przemysłowa HIGH BAY LED 100W 4000K 14000lm RIO PRO Kobi KFRP100NB</x:v>
      </x:c>
      <x:c r="D68" s="39" t="str">
        <x:v>Napięcie [V]</x:v>
      </x:c>
      <x:c r="E68" s="39" t="str">
        <x:v>(puste)</x:v>
      </x:c>
      <x:c r="F68" s="39" t="str">
        <x:v>230</x:v>
      </x:c>
      <x:c r="G68" s="39" t="str">
        <x:v>aktualny XML Kobi</x:v>
      </x:c>
      <x:c r="H68" s="39" t="str">
        <x:v>Napięcie zasilania</x:v>
      </x:c>
      <x:c r="I68" s="52" t="n">
        <x:v>0.97</x:v>
      </x:c>
      <x:c r="J68" s="53" t="str">
        <x:v>OK</x:v>
      </x:c>
      <x:c r="K68" s="39" t="str">
        <x:v>Worksheet!AF35</x:v>
      </x:c>
    </x:row>
    <x:row r="69">
      <x:c r="A69" s="45" t="str">
        <x:v>134805</x:v>
      </x:c>
      <x:c r="B69" s="45" t="str">
        <x:v>001840/KOB</x:v>
      </x:c>
      <x:c r="C69" s="39" t="str">
        <x:v>Oprawa przemysłowa HIGH BAY LED 100W 4000K 14000lm RIO PRO Kobi KFRP100NB</x:v>
      </x:c>
      <x:c r="D69" s="39" t="str">
        <x:v>Stopień Ochrony [IP]</x:v>
      </x:c>
      <x:c r="E69" s="39" t="str">
        <x:v>(puste)</x:v>
      </x:c>
      <x:c r="F69" s="39" t="str">
        <x:v>IP 66</x:v>
      </x:c>
      <x:c r="G69" s="39" t="str">
        <x:v>aktualny XML Kobi</x:v>
      </x:c>
      <x:c r="H69" s="39" t="str">
        <x:v>IP</x:v>
      </x:c>
      <x:c r="I69" s="52" t="n">
        <x:v>0.97</x:v>
      </x:c>
      <x:c r="J69" s="53" t="str">
        <x:v>OK</x:v>
      </x:c>
      <x:c r="K69" s="39" t="str">
        <x:v>Worksheet!BD35</x:v>
      </x:c>
    </x:row>
    <x:row r="70">
      <x:c r="A70" s="45" t="str">
        <x:v>134836</x:v>
      </x:c>
      <x:c r="B70" s="45" t="str">
        <x:v>001841/KOB</x:v>
      </x:c>
      <x:c r="C70" s="39" t="str">
        <x:v>Oprawa przemysłowa LED HIGH BAY 150W 4000K 21000lm RIO PRO Kobi KFRP150NB</x:v>
      </x:c>
      <x:c r="D70" s="39" t="str">
        <x:v>Kąt świecenia [°]</x:v>
      </x:c>
      <x:c r="E70" s="39" t="str">
        <x:v>(puste)</x:v>
      </x:c>
      <x:c r="F70" s="39" t="str">
        <x:v>120</x:v>
      </x:c>
      <x:c r="G70" s="39" t="str">
        <x:v>aktualny XML Kobi</x:v>
      </x:c>
      <x:c r="H70" s="39" t="str">
        <x:v>Kąt świecenia [°]</x:v>
      </x:c>
      <x:c r="I70" s="52" t="n">
        <x:v>0.97</x:v>
      </x:c>
      <x:c r="J70" s="53" t="str">
        <x:v>OK</x:v>
      </x:c>
      <x:c r="K70" s="39" t="str">
        <x:v>Worksheet!Q36</x:v>
      </x:c>
    </x:row>
    <x:row r="71">
      <x:c r="A71" s="45" t="str">
        <x:v>134836</x:v>
      </x:c>
      <x:c r="B71" s="45" t="str">
        <x:v>001841/KOB</x:v>
      </x:c>
      <x:c r="C71" s="39" t="str">
        <x:v>Oprawa przemysłowa LED HIGH BAY 150W 4000K 21000lm RIO PRO Kobi KFRP150NB</x:v>
      </x:c>
      <x:c r="D71" s="39" t="str">
        <x:v>Kolor</x:v>
      </x:c>
      <x:c r="E71" s="39" t="str">
        <x:v>(puste)</x:v>
      </x:c>
      <x:c r="F71" s="39" t="str">
        <x:v>Czarny</x:v>
      </x:c>
      <x:c r="G71" s="39" t="str">
        <x:v>aktualny XML Kobi</x:v>
      </x:c>
      <x:c r="H71" s="39" t="str">
        <x:v>Kolor produktu</x:v>
      </x:c>
      <x:c r="I71" s="52" t="n">
        <x:v>0.97</x:v>
      </x:c>
      <x:c r="J71" s="53" t="str">
        <x:v>OK</x:v>
      </x:c>
      <x:c r="K71" s="39" t="str">
        <x:v>Worksheet!T36</x:v>
      </x:c>
    </x:row>
    <x:row r="72">
      <x:c r="A72" s="45" t="str">
        <x:v>134836</x:v>
      </x:c>
      <x:c r="B72" s="45" t="str">
        <x:v>001841/KOB</x:v>
      </x:c>
      <x:c r="C72" s="39" t="str">
        <x:v>Oprawa przemysłowa LED HIGH BAY 150W 4000K 21000lm RIO PRO Kobi KFRP150NB</x:v>
      </x:c>
      <x:c r="D72" s="39" t="str">
        <x:v>Napięcie [V]</x:v>
      </x:c>
      <x:c r="E72" s="39" t="str">
        <x:v>(puste)</x:v>
      </x:c>
      <x:c r="F72" s="39" t="str">
        <x:v>230</x:v>
      </x:c>
      <x:c r="G72" s="39" t="str">
        <x:v>aktualny XML Kobi</x:v>
      </x:c>
      <x:c r="H72" s="39" t="str">
        <x:v>Napięcie zasilania</x:v>
      </x:c>
      <x:c r="I72" s="52" t="n">
        <x:v>0.97</x:v>
      </x:c>
      <x:c r="J72" s="53" t="str">
        <x:v>OK</x:v>
      </x:c>
      <x:c r="K72" s="39" t="str">
        <x:v>Worksheet!AF36</x:v>
      </x:c>
    </x:row>
    <x:row r="73">
      <x:c r="A73" s="45" t="str">
        <x:v>134836</x:v>
      </x:c>
      <x:c r="B73" s="45" t="str">
        <x:v>001841/KOB</x:v>
      </x:c>
      <x:c r="C73" s="39" t="str">
        <x:v>Oprawa przemysłowa LED HIGH BAY 150W 4000K 21000lm RIO PRO Kobi KFRP150NB</x:v>
      </x:c>
      <x:c r="D73" s="39" t="str">
        <x:v>Stopień Ochrony [IP]</x:v>
      </x:c>
      <x:c r="E73" s="39" t="str">
        <x:v>(puste)</x:v>
      </x:c>
      <x:c r="F73" s="39" t="str">
        <x:v>IP 66</x:v>
      </x:c>
      <x:c r="G73" s="39" t="str">
        <x:v>aktualny XML Kobi</x:v>
      </x:c>
      <x:c r="H73" s="39" t="str">
        <x:v>IP</x:v>
      </x:c>
      <x:c r="I73" s="52" t="n">
        <x:v>0.97</x:v>
      </x:c>
      <x:c r="J73" s="53" t="str">
        <x:v>OK</x:v>
      </x:c>
      <x:c r="K73" s="39" t="str">
        <x:v>Worksheet!BD36</x:v>
      </x:c>
    </x:row>
    <x:row r="74">
      <x:c r="A74" s="45" t="str">
        <x:v>134854</x:v>
      </x:c>
      <x:c r="B74" s="45" t="str">
        <x:v>001843/KOB</x:v>
      </x:c>
      <x:c r="C74" s="39" t="str">
        <x:v>Oprawa przemysłowa LED HIGH BAY 200W 4000K 28000lm RIO PRO Kobi KFRP200NB</x:v>
      </x:c>
      <x:c r="D74" s="39" t="str">
        <x:v>Kąt świecenia [°]</x:v>
      </x:c>
      <x:c r="E74" s="39" t="str">
        <x:v>(puste)</x:v>
      </x:c>
      <x:c r="F74" s="39" t="str">
        <x:v>120</x:v>
      </x:c>
      <x:c r="G74" s="39" t="str">
        <x:v>archiwalny XML Kobi</x:v>
      </x:c>
      <x:c r="H74" s="39" t="str">
        <x:v>Kąt świecenia [°]</x:v>
      </x:c>
      <x:c r="I74" s="52" t="n">
        <x:v>0.9</x:v>
      </x:c>
      <x:c r="J74" s="53" t="str">
        <x:v>WARNING</x:v>
      </x:c>
      <x:c r="K74" s="39" t="str">
        <x:v>Worksheet!Q37</x:v>
      </x:c>
    </x:row>
    <x:row r="75">
      <x:c r="A75" s="45" t="str">
        <x:v>134854</x:v>
      </x:c>
      <x:c r="B75" s="45" t="str">
        <x:v>001843/KOB</x:v>
      </x:c>
      <x:c r="C75" s="39" t="str">
        <x:v>Oprawa przemysłowa LED HIGH BAY 200W 4000K 28000lm RIO PRO Kobi KFRP200NB</x:v>
      </x:c>
      <x:c r="D75" s="39" t="str">
        <x:v>Kolor</x:v>
      </x:c>
      <x:c r="E75" s="39" t="str">
        <x:v>(puste)</x:v>
      </x:c>
      <x:c r="F75" s="39" t="str">
        <x:v>Czarny</x:v>
      </x:c>
      <x:c r="G75" s="39" t="str">
        <x:v>archiwalny XML Kobi</x:v>
      </x:c>
      <x:c r="H75" s="39" t="str">
        <x:v>Kolor produktu</x:v>
      </x:c>
      <x:c r="I75" s="52" t="n">
        <x:v>0.9</x:v>
      </x:c>
      <x:c r="J75" s="53" t="str">
        <x:v>WARNING</x:v>
      </x:c>
      <x:c r="K75" s="39" t="str">
        <x:v>Worksheet!T37</x:v>
      </x:c>
    </x:row>
    <x:row r="76">
      <x:c r="A76" s="45" t="str">
        <x:v>134854</x:v>
      </x:c>
      <x:c r="B76" s="45" t="str">
        <x:v>001843/KOB</x:v>
      </x:c>
      <x:c r="C76" s="39" t="str">
        <x:v>Oprawa przemysłowa LED HIGH BAY 200W 4000K 28000lm RIO PRO Kobi KFRP200NB</x:v>
      </x:c>
      <x:c r="D76" s="39" t="str">
        <x:v>Napięcie [V]</x:v>
      </x:c>
      <x:c r="E76" s="39" t="str">
        <x:v>(puste)</x:v>
      </x:c>
      <x:c r="F76" s="39" t="str">
        <x:v>230</x:v>
      </x:c>
      <x:c r="G76" s="39" t="str">
        <x:v>archiwalny XML Kobi</x:v>
      </x:c>
      <x:c r="H76" s="39" t="str">
        <x:v>Napięcie zasilania</x:v>
      </x:c>
      <x:c r="I76" s="52" t="n">
        <x:v>0.9</x:v>
      </x:c>
      <x:c r="J76" s="53" t="str">
        <x:v>WARNING</x:v>
      </x:c>
      <x:c r="K76" s="39" t="str">
        <x:v>Worksheet!AF37</x:v>
      </x:c>
    </x:row>
    <x:row r="77">
      <x:c r="A77" s="45" t="str">
        <x:v>134854</x:v>
      </x:c>
      <x:c r="B77" s="45" t="str">
        <x:v>001843/KOB</x:v>
      </x:c>
      <x:c r="C77" s="39" t="str">
        <x:v>Oprawa przemysłowa LED HIGH BAY 200W 4000K 28000lm RIO PRO Kobi KFRP200NB</x:v>
      </x:c>
      <x:c r="D77" s="39" t="str">
        <x:v>Stopień Ochrony [IP]</x:v>
      </x:c>
      <x:c r="E77" s="39" t="str">
        <x:v>(puste)</x:v>
      </x:c>
      <x:c r="F77" s="39" t="str">
        <x:v>IP 66</x:v>
      </x:c>
      <x:c r="G77" s="39" t="str">
        <x:v>archiwalny XML Kobi</x:v>
      </x:c>
      <x:c r="H77" s="39" t="str">
        <x:v>IP</x:v>
      </x:c>
      <x:c r="I77" s="52" t="n">
        <x:v>0.9</x:v>
      </x:c>
      <x:c r="J77" s="53" t="str">
        <x:v>WARNING</x:v>
      </x:c>
      <x:c r="K77" s="39" t="str">
        <x:v>Worksheet!BD37</x:v>
      </x:c>
    </x:row>
    <x:row r="78">
      <x:c r="A78" s="45" t="str">
        <x:v>142490</x:v>
      </x:c>
      <x:c r="B78" s="45" t="str">
        <x:v>001431/KOB</x:v>
      </x:c>
      <x:c r="C78" s="39" t="str">
        <x:v>Latarka LED mini X-MPR MICRO IP44 370+280lm 500mAh 7 trybów Kobi 001431</x:v>
      </x:c>
      <x:c r="D78" s="39" t="str">
        <x:v>Kąt świecenia [°]</x:v>
      </x:c>
      <x:c r="E78" s="39" t="str">
        <x:v>(puste)</x:v>
      </x:c>
      <x:c r="F78" s="39" t="str">
        <x:v>110</x:v>
      </x:c>
      <x:c r="G78" s="39" t="str">
        <x:v>aktualny XML Kobi</x:v>
      </x:c>
      <x:c r="H78" s="39" t="str">
        <x:v>Kąt świecenia [°]</x:v>
      </x:c>
      <x:c r="I78" s="52" t="n">
        <x:v>0.97</x:v>
      </x:c>
      <x:c r="J78" s="53" t="str">
        <x:v>OK</x:v>
      </x:c>
      <x:c r="K78" s="39" t="str">
        <x:v>Worksheet!Q38</x:v>
      </x:c>
    </x:row>
    <x:row r="79">
      <x:c r="A79" s="45" t="str">
        <x:v>142490</x:v>
      </x:c>
      <x:c r="B79" s="45" t="str">
        <x:v>001431/KOB</x:v>
      </x:c>
      <x:c r="C79" s="39" t="str">
        <x:v>Latarka LED mini X-MPR MICRO IP44 370+280lm 500mAh 7 trybów Kobi 001431</x:v>
      </x:c>
      <x:c r="D79" s="39" t="str">
        <x:v>Strumień świetlny [lm]</x:v>
      </x:c>
      <x:c r="E79" s="39" t="str">
        <x:v>(puste)</x:v>
      </x:c>
      <x:c r="F79" s="39" t="str">
        <x:v>550</x:v>
      </x:c>
      <x:c r="G79" s="39" t="str">
        <x:v>aktualny XML Kobi</x:v>
      </x:c>
      <x:c r="H79" s="39" t="str">
        <x:v>Strumień świetlny |lm|</x:v>
      </x:c>
      <x:c r="I79" s="52" t="n">
        <x:v>0.97</x:v>
      </x:c>
      <x:c r="J79" s="53" t="str">
        <x:v>OK</x:v>
      </x:c>
      <x:c r="K79" s="39" t="str">
        <x:v>Worksheet!BF38</x:v>
      </x:c>
    </x:row>
    <x:row r="80">
      <x:c r="A80" s="45" t="str">
        <x:v>142500</x:v>
      </x:c>
      <x:c r="B80" s="45" t="str">
        <x:v>001435/KOB</x:v>
      </x:c>
      <x:c r="C80" s="39" t="str">
        <x:v>Girlanda świetlna dekoracyjna 7,74m 10 kul 2500K LED VENEZIA Kobi 001435</x:v>
      </x:c>
      <x:c r="D80" s="39" t="str">
        <x:v>Kolor</x:v>
      </x:c>
      <x:c r="E80" s="39" t="str">
        <x:v>(puste)</x:v>
      </x:c>
      <x:c r="F80" s="39" t="str">
        <x:v>Biały</x:v>
      </x:c>
      <x:c r="G80" s="39" t="str">
        <x:v>aktualny XML Kobi</x:v>
      </x:c>
      <x:c r="H80" s="39" t="str">
        <x:v>Kolor produktu</x:v>
      </x:c>
      <x:c r="I80" s="52" t="n">
        <x:v>0.97</x:v>
      </x:c>
      <x:c r="J80" s="53" t="str">
        <x:v>OK</x:v>
      </x:c>
      <x:c r="K80" s="39" t="str">
        <x:v>Worksheet!T39</x:v>
      </x:c>
    </x:row>
    <x:row r="81">
      <x:c r="A81" s="45" t="str">
        <x:v>142500</x:v>
      </x:c>
      <x:c r="B81" s="45" t="str">
        <x:v>001435/KOB</x:v>
      </x:c>
      <x:c r="C81" s="39" t="str">
        <x:v>Girlanda świetlna dekoracyjna 7,74m 10 kul 2500K LED VENEZIA Kobi 001435</x:v>
      </x:c>
      <x:c r="D81" s="39" t="str">
        <x:v>Moc [W]</x:v>
      </x:c>
      <x:c r="E81" s="39" t="str">
        <x:v>(puste)</x:v>
      </x:c>
      <x:c r="F81" s="39" t="str">
        <x:v>10</x:v>
      </x:c>
      <x:c r="G81" s="39" t="str">
        <x:v>aktualny XML Kobi</x:v>
      </x:c>
      <x:c r="H81" s="39" t="str">
        <x:v>Moc [W]</x:v>
      </x:c>
      <x:c r="I81" s="52" t="n">
        <x:v>0.97</x:v>
      </x:c>
      <x:c r="J81" s="53" t="str">
        <x:v>OK</x:v>
      </x:c>
      <x:c r="K81" s="39" t="str">
        <x:v>Worksheet!AC39</x:v>
      </x:c>
    </x:row>
    <x:row r="82">
      <x:c r="A82" s="45" t="str">
        <x:v>142500</x:v>
      </x:c>
      <x:c r="B82" s="45" t="str">
        <x:v>001435/KOB</x:v>
      </x:c>
      <x:c r="C82" s="39" t="str">
        <x:v>Girlanda świetlna dekoracyjna 7,74m 10 kul 2500K LED VENEZIA Kobi 001435</x:v>
      </x:c>
      <x:c r="D82" s="39" t="str">
        <x:v>Napięcie [V]</x:v>
      </x:c>
      <x:c r="E82" s="39" t="str">
        <x:v>(puste)</x:v>
      </x:c>
      <x:c r="F82" s="39" t="str">
        <x:v>230</x:v>
      </x:c>
      <x:c r="G82" s="39" t="str">
        <x:v>aktualny XML Kobi</x:v>
      </x:c>
      <x:c r="H82" s="39" t="str">
        <x:v>Napięcie zasilania</x:v>
      </x:c>
      <x:c r="I82" s="52" t="n">
        <x:v>0.97</x:v>
      </x:c>
      <x:c r="J82" s="53" t="str">
        <x:v>OK</x:v>
      </x:c>
      <x:c r="K82" s="39" t="str">
        <x:v>Worksheet!AF39</x:v>
      </x:c>
    </x:row>
    <x:row r="83">
      <x:c r="A83" s="45" t="str">
        <x:v>142500</x:v>
      </x:c>
      <x:c r="B83" s="45" t="str">
        <x:v>001435/KOB</x:v>
      </x:c>
      <x:c r="C83" s="39" t="str">
        <x:v>Girlanda świetlna dekoracyjna 7,74m 10 kul 2500K LED VENEZIA Kobi 001435</x:v>
      </x:c>
      <x:c r="D83" s="39" t="str">
        <x:v>Strumień świetlny [lm]</x:v>
      </x:c>
      <x:c r="E83" s="39" t="str">
        <x:v>(puste)</x:v>
      </x:c>
      <x:c r="F83" s="39" t="str">
        <x:v>700</x:v>
      </x:c>
      <x:c r="G83" s="39" t="str">
        <x:v>aktualny XML Kobi</x:v>
      </x:c>
      <x:c r="H83" s="39" t="str">
        <x:v>Strumień świetlny |lm|</x:v>
      </x:c>
      <x:c r="I83" s="52" t="n">
        <x:v>0.97</x:v>
      </x:c>
      <x:c r="J83" s="53" t="str">
        <x:v>OK</x:v>
      </x:c>
      <x:c r="K83" s="39" t="str">
        <x:v>Worksheet!BF39</x:v>
      </x:c>
    </x:row>
    <x:row r="84">
      <x:c r="A84" s="45" t="str">
        <x:v>142506</x:v>
      </x:c>
      <x:c r="B84" s="45" t="str">
        <x:v>003671/KOB</x:v>
      </x:c>
      <x:c r="C84" s="39" t="str">
        <x:v>Oprawa hermetyczna LED CORTEZ 18W 2160lm 4000K 62,5cm IP65 Kobi 003671</x:v>
      </x:c>
      <x:c r="D84" s="39" t="str">
        <x:v>Kąt świecenia [°]</x:v>
      </x:c>
      <x:c r="E84" s="39" t="str">
        <x:v>(puste)</x:v>
      </x:c>
      <x:c r="F84" s="39" t="str">
        <x:v>120</x:v>
      </x:c>
      <x:c r="G84" s="39" t="str">
        <x:v>aktualny XML Kobi</x:v>
      </x:c>
      <x:c r="H84" s="39" t="str">
        <x:v>Kąt świecenia [°]</x:v>
      </x:c>
      <x:c r="I84" s="52" t="n">
        <x:v>0.97</x:v>
      </x:c>
      <x:c r="J84" s="53" t="str">
        <x:v>OK</x:v>
      </x:c>
      <x:c r="K84" s="39" t="str">
        <x:v>Worksheet!Q40</x:v>
      </x:c>
    </x:row>
    <x:row r="85">
      <x:c r="A85" s="45" t="str">
        <x:v>142506</x:v>
      </x:c>
      <x:c r="B85" s="45" t="str">
        <x:v>003671/KOB</x:v>
      </x:c>
      <x:c r="C85" s="39" t="str">
        <x:v>Oprawa hermetyczna LED CORTEZ 18W 2160lm 4000K 62,5cm IP65 Kobi 003671</x:v>
      </x:c>
      <x:c r="D85" s="39" t="str">
        <x:v>Kolor</x:v>
      </x:c>
      <x:c r="E85" s="39" t="str">
        <x:v>(puste)</x:v>
      </x:c>
      <x:c r="F85" s="39" t="str">
        <x:v>Biały</x:v>
      </x:c>
      <x:c r="G85" s="39" t="str">
        <x:v>aktualny XML Kobi</x:v>
      </x:c>
      <x:c r="H85" s="39" t="str">
        <x:v>Kolor produktu</x:v>
      </x:c>
      <x:c r="I85" s="52" t="n">
        <x:v>0.97</x:v>
      </x:c>
      <x:c r="J85" s="53" t="str">
        <x:v>OK</x:v>
      </x:c>
      <x:c r="K85" s="39" t="str">
        <x:v>Worksheet!T40</x:v>
      </x:c>
    </x:row>
    <x:row r="86">
      <x:c r="A86" s="45" t="str">
        <x:v>142506</x:v>
      </x:c>
      <x:c r="B86" s="45" t="str">
        <x:v>003671/KOB</x:v>
      </x:c>
      <x:c r="C86" s="39" t="str">
        <x:v>Oprawa hermetyczna LED CORTEZ 18W 2160lm 4000K 62,5cm IP65 Kobi 003671</x:v>
      </x:c>
      <x:c r="D86" s="39" t="str">
        <x:v>Napięcie [V]</x:v>
      </x:c>
      <x:c r="E86" s="39" t="str">
        <x:v>(puste)</x:v>
      </x:c>
      <x:c r="F86" s="39" t="str">
        <x:v>230</x:v>
      </x:c>
      <x:c r="G86" s="39" t="str">
        <x:v>aktualny XML Kobi</x:v>
      </x:c>
      <x:c r="H86" s="39" t="str">
        <x:v>Napięcie zasilania</x:v>
      </x:c>
      <x:c r="I86" s="52" t="n">
        <x:v>0.97</x:v>
      </x:c>
      <x:c r="J86" s="53" t="str">
        <x:v>OK</x:v>
      </x:c>
      <x:c r="K86" s="39" t="str">
        <x:v>Worksheet!AF40</x:v>
      </x:c>
    </x:row>
    <x:row r="87">
      <x:c r="A87" s="45" t="str">
        <x:v>142510</x:v>
      </x:c>
      <x:c r="B87" s="45" t="str">
        <x:v>003672/KOB</x:v>
      </x:c>
      <x:c r="C87" s="39" t="str">
        <x:v>Oprawa hermetyczna LED CORTEZ 36W 4320lm 4000K 122,5cm IP65 Kobi 003672</x:v>
      </x:c>
      <x:c r="D87" s="39" t="str">
        <x:v>Kąt świecenia [°]</x:v>
      </x:c>
      <x:c r="E87" s="39" t="str">
        <x:v>(puste)</x:v>
      </x:c>
      <x:c r="F87" s="39" t="str">
        <x:v>120</x:v>
      </x:c>
      <x:c r="G87" s="39" t="str">
        <x:v>aktualny XML Kobi</x:v>
      </x:c>
      <x:c r="H87" s="39" t="str">
        <x:v>Kąt świecenia [°]</x:v>
      </x:c>
      <x:c r="I87" s="52" t="n">
        <x:v>0.97</x:v>
      </x:c>
      <x:c r="J87" s="53" t="str">
        <x:v>OK</x:v>
      </x:c>
      <x:c r="K87" s="39" t="str">
        <x:v>Worksheet!Q41</x:v>
      </x:c>
    </x:row>
    <x:row r="88">
      <x:c r="A88" s="45" t="str">
        <x:v>142510</x:v>
      </x:c>
      <x:c r="B88" s="45" t="str">
        <x:v>003672/KOB</x:v>
      </x:c>
      <x:c r="C88" s="39" t="str">
        <x:v>Oprawa hermetyczna LED CORTEZ 36W 4320lm 4000K 122,5cm IP65 Kobi 003672</x:v>
      </x:c>
      <x:c r="D88" s="39" t="str">
        <x:v>Kolor</x:v>
      </x:c>
      <x:c r="E88" s="39" t="str">
        <x:v>(puste)</x:v>
      </x:c>
      <x:c r="F88" s="39" t="str">
        <x:v>Biały</x:v>
      </x:c>
      <x:c r="G88" s="39" t="str">
        <x:v>aktualny XML Kobi</x:v>
      </x:c>
      <x:c r="H88" s="39" t="str">
        <x:v>Kolor produktu</x:v>
      </x:c>
      <x:c r="I88" s="52" t="n">
        <x:v>0.97</x:v>
      </x:c>
      <x:c r="J88" s="53" t="str">
        <x:v>OK</x:v>
      </x:c>
      <x:c r="K88" s="39" t="str">
        <x:v>Worksheet!T41</x:v>
      </x:c>
    </x:row>
    <x:row r="89">
      <x:c r="A89" s="45" t="str">
        <x:v>142510</x:v>
      </x:c>
      <x:c r="B89" s="45" t="str">
        <x:v>003672/KOB</x:v>
      </x:c>
      <x:c r="C89" s="39" t="str">
        <x:v>Oprawa hermetyczna LED CORTEZ 36W 4320lm 4000K 122,5cm IP65 Kobi 003672</x:v>
      </x:c>
      <x:c r="D89" s="39" t="str">
        <x:v>Napięcie [V]</x:v>
      </x:c>
      <x:c r="E89" s="39" t="str">
        <x:v>(puste)</x:v>
      </x:c>
      <x:c r="F89" s="39" t="str">
        <x:v>230</x:v>
      </x:c>
      <x:c r="G89" s="39" t="str">
        <x:v>aktualny XML Kobi</x:v>
      </x:c>
      <x:c r="H89" s="39" t="str">
        <x:v>Napięcie zasilania</x:v>
      </x:c>
      <x:c r="I89" s="52" t="n">
        <x:v>0.97</x:v>
      </x:c>
      <x:c r="J89" s="53" t="str">
        <x:v>OK</x:v>
      </x:c>
      <x:c r="K89" s="39" t="str">
        <x:v>Worksheet!AF41</x:v>
      </x:c>
    </x:row>
    <x:row r="90">
      <x:c r="A90" s="45" t="str">
        <x:v>142515</x:v>
      </x:c>
      <x:c r="B90" s="45" t="str">
        <x:v>003673/KOB</x:v>
      </x:c>
      <x:c r="C90" s="39" t="str">
        <x:v>Oprawa hermetyczna LED CORTEZ 48W 5760lm 4000K 152,5cm IP65 Kobi 003673</x:v>
      </x:c>
      <x:c r="D90" s="39" t="str">
        <x:v>Kąt świecenia [°]</x:v>
      </x:c>
      <x:c r="E90" s="39" t="str">
        <x:v>(puste)</x:v>
      </x:c>
      <x:c r="F90" s="39" t="str">
        <x:v>120</x:v>
      </x:c>
      <x:c r="G90" s="39" t="str">
        <x:v>aktualny XML Kobi</x:v>
      </x:c>
      <x:c r="H90" s="39" t="str">
        <x:v>Kąt świecenia [°]</x:v>
      </x:c>
      <x:c r="I90" s="52" t="n">
        <x:v>0.97</x:v>
      </x:c>
      <x:c r="J90" s="53" t="str">
        <x:v>OK</x:v>
      </x:c>
      <x:c r="K90" s="39" t="str">
        <x:v>Worksheet!Q42</x:v>
      </x:c>
    </x:row>
    <x:row r="91">
      <x:c r="A91" s="45" t="str">
        <x:v>142515</x:v>
      </x:c>
      <x:c r="B91" s="45" t="str">
        <x:v>003673/KOB</x:v>
      </x:c>
      <x:c r="C91" s="39" t="str">
        <x:v>Oprawa hermetyczna LED CORTEZ 48W 5760lm 4000K 152,5cm IP65 Kobi 003673</x:v>
      </x:c>
      <x:c r="D91" s="39" t="str">
        <x:v>Kolor</x:v>
      </x:c>
      <x:c r="E91" s="39" t="str">
        <x:v>(puste)</x:v>
      </x:c>
      <x:c r="F91" s="39" t="str">
        <x:v>Biały</x:v>
      </x:c>
      <x:c r="G91" s="39" t="str">
        <x:v>aktualny XML Kobi</x:v>
      </x:c>
      <x:c r="H91" s="39" t="str">
        <x:v>Kolor produktu</x:v>
      </x:c>
      <x:c r="I91" s="52" t="n">
        <x:v>0.97</x:v>
      </x:c>
      <x:c r="J91" s="53" t="str">
        <x:v>OK</x:v>
      </x:c>
      <x:c r="K91" s="39" t="str">
        <x:v>Worksheet!T42</x:v>
      </x:c>
    </x:row>
    <x:row r="92">
      <x:c r="A92" s="45" t="str">
        <x:v>142515</x:v>
      </x:c>
      <x:c r="B92" s="45" t="str">
        <x:v>003673/KOB</x:v>
      </x:c>
      <x:c r="C92" s="39" t="str">
        <x:v>Oprawa hermetyczna LED CORTEZ 48W 5760lm 4000K 152,5cm IP65 Kobi 003673</x:v>
      </x:c>
      <x:c r="D92" s="39" t="str">
        <x:v>Napięcie [V]</x:v>
      </x:c>
      <x:c r="E92" s="39" t="str">
        <x:v>(puste)</x:v>
      </x:c>
      <x:c r="F92" s="39" t="str">
        <x:v>230</x:v>
      </x:c>
      <x:c r="G92" s="39" t="str">
        <x:v>aktualny XML Kobi</x:v>
      </x:c>
      <x:c r="H92" s="39" t="str">
        <x:v>Napięcie zasilania</x:v>
      </x:c>
      <x:c r="I92" s="52" t="n">
        <x:v>0.97</x:v>
      </x:c>
      <x:c r="J92" s="53" t="str">
        <x:v>OK</x:v>
      </x:c>
      <x:c r="K92" s="39" t="str">
        <x:v>Worksheet!AF42</x:v>
      </x:c>
    </x:row>
    <x:row r="93">
      <x:c r="A93" s="45" t="str">
        <x:v>142524</x:v>
      </x:c>
      <x:c r="B93" s="45" t="str">
        <x:v>001580/KOB</x:v>
      </x:c>
      <x:c r="C93" s="39" t="str">
        <x:v>Lampa uliczna z czujnikiem zmierzchu LED CYOTO 100W 4000K 10000lm IP65 Kobi Premium 001580</x:v>
      </x:c>
      <x:c r="D93" s="39" t="str">
        <x:v>Napięcie [V]</x:v>
      </x:c>
      <x:c r="E93" s="39" t="str">
        <x:v>(puste)</x:v>
      </x:c>
      <x:c r="F93" s="39" t="str">
        <x:v>230</x:v>
      </x:c>
      <x:c r="G93" s="39" t="str">
        <x:v>aktualny XML Kobi</x:v>
      </x:c>
      <x:c r="H93" s="39" t="str">
        <x:v>Napięcie zasilania</x:v>
      </x:c>
      <x:c r="I93" s="52" t="n">
        <x:v>0.97</x:v>
      </x:c>
      <x:c r="J93" s="53" t="str">
        <x:v>OK</x:v>
      </x:c>
      <x:c r="K93" s="39" t="str">
        <x:v>Worksheet!AF43</x:v>
      </x:c>
    </x:row>
    <x:row r="94">
      <x:c r="A94" s="45" t="str">
        <x:v>142528</x:v>
      </x:c>
      <x:c r="B94" s="45" t="str">
        <x:v>001581/KOB</x:v>
      </x:c>
      <x:c r="C94" s="39" t="str">
        <x:v>Lampa uliczna z czujnikiem zmierzchu LED CYOTO 50W 4000K 5000lm IP65 Kobi Premium 001581</x:v>
      </x:c>
      <x:c r="D94" s="39" t="str">
        <x:v>Napięcie [V]</x:v>
      </x:c>
      <x:c r="E94" s="39" t="str">
        <x:v>(puste)</x:v>
      </x:c>
      <x:c r="F94" s="39" t="str">
        <x:v>230</x:v>
      </x:c>
      <x:c r="G94" s="39" t="str">
        <x:v>archiwalny XML Kobi</x:v>
      </x:c>
      <x:c r="H94" s="39" t="str">
        <x:v>Napięcie zasilania</x:v>
      </x:c>
      <x:c r="I94" s="52" t="n">
        <x:v>0.9</x:v>
      </x:c>
      <x:c r="J94" s="53" t="str">
        <x:v>WARNING</x:v>
      </x:c>
      <x:c r="K94" s="39" t="str">
        <x:v>Worksheet!AF44</x:v>
      </x:c>
    </x:row>
    <x:row r="95">
      <x:c r="A95" s="45" t="str">
        <x:v>142532</x:v>
      </x:c>
      <x:c r="B95" s="45" t="str">
        <x:v>001694/KOB</x:v>
      </x:c>
      <x:c r="C95" s="39" t="str">
        <x:v>Plafon LED NAIROS G2 12W 1260lm zmienna barwa 3CCT IP65 biały Kobi Premium 001694</x:v>
      </x:c>
      <x:c r="D95" s="39" t="str">
        <x:v>Kąt świecenia [°]</x:v>
      </x:c>
      <x:c r="E95" s="39" t="str">
        <x:v>(puste)</x:v>
      </x:c>
      <x:c r="F95" s="39" t="str">
        <x:v>120</x:v>
      </x:c>
      <x:c r="G95" s="39" t="str">
        <x:v>aktualny XML Kobi</x:v>
      </x:c>
      <x:c r="H95" s="39" t="str">
        <x:v>Kąt świecenia [°]</x:v>
      </x:c>
      <x:c r="I95" s="52" t="n">
        <x:v>0.97</x:v>
      </x:c>
      <x:c r="J95" s="53" t="str">
        <x:v>OK</x:v>
      </x:c>
      <x:c r="K95" s="39" t="str">
        <x:v>Worksheet!Q45</x:v>
      </x:c>
    </x:row>
    <x:row r="96">
      <x:c r="A96" s="45" t="str">
        <x:v>142535</x:v>
      </x:c>
      <x:c r="B96" s="45" t="str">
        <x:v>001695/KOB</x:v>
      </x:c>
      <x:c r="C96" s="39" t="str">
        <x:v>Plafon LED NAIROS G2 12W 1140lm zmienna barwa 3CCT IP65 czarny Kobi Premium 001695</x:v>
      </x:c>
      <x:c r="D96" s="39" t="str">
        <x:v>Kąt świecenia [°]</x:v>
      </x:c>
      <x:c r="E96" s="39" t="str">
        <x:v>(puste)</x:v>
      </x:c>
      <x:c r="F96" s="39" t="str">
        <x:v>120</x:v>
      </x:c>
      <x:c r="G96" s="39" t="str">
        <x:v>aktualny XML Kobi</x:v>
      </x:c>
      <x:c r="H96" s="39" t="str">
        <x:v>Kąt świecenia [°]</x:v>
      </x:c>
      <x:c r="I96" s="52" t="n">
        <x:v>0.97</x:v>
      </x:c>
      <x:c r="J96" s="53" t="str">
        <x:v>OK</x:v>
      </x:c>
      <x:c r="K96" s="39" t="str">
        <x:v>Worksheet!Q46</x:v>
      </x:c>
    </x:row>
    <x:row r="97">
      <x:c r="A97" s="45" t="str">
        <x:v>142539</x:v>
      </x:c>
      <x:c r="B97" s="45" t="str">
        <x:v>001701/KOB</x:v>
      </x:c>
      <x:c r="C97" s="39" t="str">
        <x:v>Plafon LED z czujnikiem ruchu NAIROS G2 12W 1260lm zmienna barwa 3CCT IP65 biały Kobi Premium 001701</x:v>
      </x:c>
      <x:c r="D97" s="39" t="str">
        <x:v>Kąt świecenia [°]</x:v>
      </x:c>
      <x:c r="E97" s="39" t="str">
        <x:v>(puste)</x:v>
      </x:c>
      <x:c r="F97" s="39" t="str">
        <x:v>120</x:v>
      </x:c>
      <x:c r="G97" s="39" t="str">
        <x:v>aktualny XML Kobi</x:v>
      </x:c>
      <x:c r="H97" s="39" t="str">
        <x:v>Kąt świecenia [°]</x:v>
      </x:c>
      <x:c r="I97" s="52" t="n">
        <x:v>0.97</x:v>
      </x:c>
      <x:c r="J97" s="53" t="str">
        <x:v>OK</x:v>
      </x:c>
      <x:c r="K97" s="39" t="str">
        <x:v>Worksheet!Q47</x:v>
      </x:c>
    </x:row>
    <x:row r="98">
      <x:c r="A98" s="45" t="str">
        <x:v>142544</x:v>
      </x:c>
      <x:c r="B98" s="45" t="str">
        <x:v>001696/KOB</x:v>
      </x:c>
      <x:c r="C98" s="39" t="str">
        <x:v>Plafon LED NAIROS G2 18W 1890lm zmienna barwa 3CCT IP65 biały Kobi Premium 001696</x:v>
      </x:c>
      <x:c r="D98" s="39" t="str">
        <x:v>Kąt świecenia [°]</x:v>
      </x:c>
      <x:c r="E98" s="39" t="str">
        <x:v>(puste)</x:v>
      </x:c>
      <x:c r="F98" s="39" t="str">
        <x:v>120</x:v>
      </x:c>
      <x:c r="G98" s="39" t="str">
        <x:v>aktualny XML Kobi</x:v>
      </x:c>
      <x:c r="H98" s="39" t="str">
        <x:v>Kąt świecenia [°]</x:v>
      </x:c>
      <x:c r="I98" s="52" t="n">
        <x:v>0.97</x:v>
      </x:c>
      <x:c r="J98" s="53" t="str">
        <x:v>OK</x:v>
      </x:c>
      <x:c r="K98" s="39" t="str">
        <x:v>Worksheet!Q48</x:v>
      </x:c>
    </x:row>
    <x:row r="99">
      <x:c r="A99" s="45" t="str">
        <x:v>142547</x:v>
      </x:c>
      <x:c r="B99" s="45" t="str">
        <x:v>001703/KOB</x:v>
      </x:c>
      <x:c r="C99" s="39" t="str">
        <x:v>Plafon LED z czujnikiem ruchu NAIROS G2 18W 1890lm zmienna barwa 3CCT IP65 biały Kobi Premium 001703</x:v>
      </x:c>
      <x:c r="D99" s="39" t="str">
        <x:v>Kąt świecenia [°]</x:v>
      </x:c>
      <x:c r="E99" s="39" t="str">
        <x:v>(puste)</x:v>
      </x:c>
      <x:c r="F99" s="39" t="str">
        <x:v>120</x:v>
      </x:c>
      <x:c r="G99" s="39" t="str">
        <x:v>aktualny XML Kobi</x:v>
      </x:c>
      <x:c r="H99" s="39" t="str">
        <x:v>Kąt świecenia [°]</x:v>
      </x:c>
      <x:c r="I99" s="52" t="n">
        <x:v>0.97</x:v>
      </x:c>
      <x:c r="J99" s="53" t="str">
        <x:v>OK</x:v>
      </x:c>
      <x:c r="K99" s="39" t="str">
        <x:v>Worksheet!Q49</x:v>
      </x:c>
    </x:row>
    <x:row r="100">
      <x:c r="A100" s="45" t="str">
        <x:v>142574</x:v>
      </x:c>
      <x:c r="B100" s="45" t="str">
        <x:v>001726/KOB</x:v>
      </x:c>
      <x:c r="C100" s="39" t="str">
        <x:v>Oprawa hermetyczna liniowa LED NEXFORCE N2 120 cm 36W 6300lm 4000K neutralna IP66 Kobi 001726</x:v>
      </x:c>
      <x:c r="D100" s="39" t="str">
        <x:v>Kąt świecenia [°]</x:v>
      </x:c>
      <x:c r="E100" s="39" t="str">
        <x:v>(puste)</x:v>
      </x:c>
      <x:c r="F100" s="39" t="str">
        <x:v>120</x:v>
      </x:c>
      <x:c r="G100" s="39" t="str">
        <x:v>aktualny XML Kobi</x:v>
      </x:c>
      <x:c r="H100" s="39" t="str">
        <x:v>Kąt świecenia [°]</x:v>
      </x:c>
      <x:c r="I100" s="52" t="n">
        <x:v>0.97</x:v>
      </x:c>
      <x:c r="J100" s="53" t="str">
        <x:v>OK</x:v>
      </x:c>
      <x:c r="K100" s="39" t="str">
        <x:v>Worksheet!Q50</x:v>
      </x:c>
    </x:row>
    <x:row r="101">
      <x:c r="A101" s="45" t="str">
        <x:v>142574</x:v>
      </x:c>
      <x:c r="B101" s="45" t="str">
        <x:v>001726/KOB</x:v>
      </x:c>
      <x:c r="C101" s="39" t="str">
        <x:v>Oprawa hermetyczna liniowa LED NEXFORCE N2 120 cm 36W 6300lm 4000K neutralna IP66 Kobi 001726</x:v>
      </x:c>
      <x:c r="D101" s="39" t="str">
        <x:v>Kolor</x:v>
      </x:c>
      <x:c r="E101" s="39" t="str">
        <x:v>(puste)</x:v>
      </x:c>
      <x:c r="F101" s="39" t="str">
        <x:v>Szary</x:v>
      </x:c>
      <x:c r="G101" s="39" t="str">
        <x:v>aktualny XML Kobi</x:v>
      </x:c>
      <x:c r="H101" s="39" t="str">
        <x:v>Kolor produktu</x:v>
      </x:c>
      <x:c r="I101" s="52" t="n">
        <x:v>0.97</x:v>
      </x:c>
      <x:c r="J101" s="53" t="str">
        <x:v>OK</x:v>
      </x:c>
      <x:c r="K101" s="39" t="str">
        <x:v>Worksheet!T50</x:v>
      </x:c>
    </x:row>
    <x:row r="102">
      <x:c r="A102" s="45" t="str">
        <x:v>142574</x:v>
      </x:c>
      <x:c r="B102" s="45" t="str">
        <x:v>001726/KOB</x:v>
      </x:c>
      <x:c r="C102" s="39" t="str">
        <x:v>Oprawa hermetyczna liniowa LED NEXFORCE N2 120 cm 36W 6300lm 4000K neutralna IP66 Kobi 001726</x:v>
      </x:c>
      <x:c r="D102" s="39" t="str">
        <x:v>Napięcie [V]</x:v>
      </x:c>
      <x:c r="E102" s="39" t="str">
        <x:v>(puste)</x:v>
      </x:c>
      <x:c r="F102" s="39" t="str">
        <x:v>230</x:v>
      </x:c>
      <x:c r="G102" s="39" t="str">
        <x:v>aktualny XML Kobi</x:v>
      </x:c>
      <x:c r="H102" s="39" t="str">
        <x:v>Napięcie zasilania</x:v>
      </x:c>
      <x:c r="I102" s="52" t="n">
        <x:v>0.97</x:v>
      </x:c>
      <x:c r="J102" s="53" t="str">
        <x:v>OK</x:v>
      </x:c>
      <x:c r="K102" s="39" t="str">
        <x:v>Worksheet!AF50</x:v>
      </x:c>
    </x:row>
    <x:row r="103">
      <x:c r="A103" s="45" t="str">
        <x:v>142581</x:v>
      </x:c>
      <x:c r="B103" s="45" t="str">
        <x:v>001727/KOB</x:v>
      </x:c>
      <x:c r="C103" s="39" t="str">
        <x:v>Oprawa hermetyczna liniowa LED NEXFORCE N2 150cm 52W 9000lm 4000K neutralna IP66 Kobi 001727</x:v>
      </x:c>
      <x:c r="D103" s="39" t="str">
        <x:v>Kąt świecenia [°]</x:v>
      </x:c>
      <x:c r="E103" s="39" t="str">
        <x:v>(puste)</x:v>
      </x:c>
      <x:c r="F103" s="39" t="str">
        <x:v>120</x:v>
      </x:c>
      <x:c r="G103" s="39" t="str">
        <x:v>aktualny XML Kobi</x:v>
      </x:c>
      <x:c r="H103" s="39" t="str">
        <x:v>Kąt świecenia [°]</x:v>
      </x:c>
      <x:c r="I103" s="52" t="n">
        <x:v>0.97</x:v>
      </x:c>
      <x:c r="J103" s="53" t="str">
        <x:v>OK</x:v>
      </x:c>
      <x:c r="K103" s="39" t="str">
        <x:v>Worksheet!Q51</x:v>
      </x:c>
    </x:row>
    <x:row r="104">
      <x:c r="A104" s="45" t="str">
        <x:v>142581</x:v>
      </x:c>
      <x:c r="B104" s="45" t="str">
        <x:v>001727/KOB</x:v>
      </x:c>
      <x:c r="C104" s="39" t="str">
        <x:v>Oprawa hermetyczna liniowa LED NEXFORCE N2 150cm 52W 9000lm 4000K neutralna IP66 Kobi 001727</x:v>
      </x:c>
      <x:c r="D104" s="39" t="str">
        <x:v>Kolor</x:v>
      </x:c>
      <x:c r="E104" s="39" t="str">
        <x:v>(puste)</x:v>
      </x:c>
      <x:c r="F104" s="39" t="str">
        <x:v>Szary</x:v>
      </x:c>
      <x:c r="G104" s="39" t="str">
        <x:v>aktualny XML Kobi</x:v>
      </x:c>
      <x:c r="H104" s="39" t="str">
        <x:v>Kolor produktu</x:v>
      </x:c>
      <x:c r="I104" s="52" t="n">
        <x:v>0.97</x:v>
      </x:c>
      <x:c r="J104" s="53" t="str">
        <x:v>OK</x:v>
      </x:c>
      <x:c r="K104" s="39" t="str">
        <x:v>Worksheet!T51</x:v>
      </x:c>
    </x:row>
    <x:row r="105">
      <x:c r="A105" s="45" t="str">
        <x:v>142581</x:v>
      </x:c>
      <x:c r="B105" s="45" t="str">
        <x:v>001727/KOB</x:v>
      </x:c>
      <x:c r="C105" s="39" t="str">
        <x:v>Oprawa hermetyczna liniowa LED NEXFORCE N2 150cm 52W 9000lm 4000K neutralna IP66 Kobi 001727</x:v>
      </x:c>
      <x:c r="D105" s="39" t="str">
        <x:v>Napięcie [V]</x:v>
      </x:c>
      <x:c r="E105" s="39" t="str">
        <x:v>(puste)</x:v>
      </x:c>
      <x:c r="F105" s="39" t="str">
        <x:v>230</x:v>
      </x:c>
      <x:c r="G105" s="39" t="str">
        <x:v>aktualny XML Kobi</x:v>
      </x:c>
      <x:c r="H105" s="39" t="str">
        <x:v>Napięcie zasilania</x:v>
      </x:c>
      <x:c r="I105" s="52" t="n">
        <x:v>0.97</x:v>
      </x:c>
      <x:c r="J105" s="53" t="str">
        <x:v>OK</x:v>
      </x:c>
      <x:c r="K105" s="39" t="str">
        <x:v>Worksheet!AF51</x:v>
      </x:c>
    </x:row>
    <x:row r="106">
      <x:c r="A106" s="45" t="str">
        <x:v>143665</x:v>
      </x:c>
      <x:c r="B106" s="45" t="str">
        <x:v>001820/KOB</x:v>
      </x:c>
      <x:c r="C106" s="39" t="str">
        <x:v>Lampa uliczna z czujnikiem ruchu solarna 30W 3000/4000K 4800lm 2CCT IP65 Kobi Premium 001820</x:v>
      </x:c>
      <x:c r="D106" s="39" t="str">
        <x:v>Napięcie [V]</x:v>
      </x:c>
      <x:c r="E106" s="39" t="str">
        <x:v>(puste)</x:v>
      </x:c>
      <x:c r="F106" s="39" t="str">
        <x:v>9</x:v>
      </x:c>
      <x:c r="G106" s="39" t="str">
        <x:v>aktualny XML Kobi</x:v>
      </x:c>
      <x:c r="H106" s="39" t="str">
        <x:v>Napięcie zasilania</x:v>
      </x:c>
      <x:c r="I106" s="52" t="n">
        <x:v>0.97</x:v>
      </x:c>
      <x:c r="J106" s="53" t="str">
        <x:v>OK</x:v>
      </x:c>
      <x:c r="K106" s="39" t="str">
        <x:v>Worksheet!AF52</x:v>
      </x:c>
    </x:row>
    <x:row r="107">
      <x:c r="A107" s="45" t="str">
        <x:v>143665</x:v>
      </x:c>
      <x:c r="B107" s="45" t="str">
        <x:v>001820/KOB</x:v>
      </x:c>
      <x:c r="C107" s="39" t="str">
        <x:v>Lampa uliczna z czujnikiem ruchu solarna 30W 3000/4000K 4800lm 2CCT IP65 Kobi Premium 001820</x:v>
      </x:c>
      <x:c r="D107" s="39" t="str">
        <x:v>Stopień Ochrony [IP]</x:v>
      </x:c>
      <x:c r="E107" s="39" t="str">
        <x:v>(puste)</x:v>
      </x:c>
      <x:c r="F107" s="39" t="str">
        <x:v>IP 65</x:v>
      </x:c>
      <x:c r="G107" s="39" t="str">
        <x:v>aktualny XML Kobi</x:v>
      </x:c>
      <x:c r="H107" s="39" t="str">
        <x:v>IP</x:v>
      </x:c>
      <x:c r="I107" s="52" t="n">
        <x:v>0.97</x:v>
      </x:c>
      <x:c r="J107" s="53" t="str">
        <x:v>OK</x:v>
      </x:c>
      <x:c r="K107" s="39" t="str">
        <x:v>Worksheet!BD52</x:v>
      </x:c>
    </x:row>
    <x:row r="108">
      <x:c r="A108" s="45" t="str">
        <x:v>144556</x:v>
      </x:c>
      <x:c r="B108" s="45" t="str">
        <x:v>001807/KOB</x:v>
      </x:c>
      <x:c r="C108" s="39" t="str">
        <x:v>Naświetlacz solarny LED z czujnikiem ruchu HALOGEN MHC 5W 4000K 500lm KOBI 001807</x:v>
      </x:c>
      <x:c r="D108" s="39" t="str">
        <x:v>Kąt świecenia [°]</x:v>
      </x:c>
      <x:c r="E108" s="39" t="str">
        <x:v>(puste)</x:v>
      </x:c>
      <x:c r="F108" s="39" t="str">
        <x:v>90</x:v>
      </x:c>
      <x:c r="G108" s="39" t="str">
        <x:v>aktualny XML Kobi</x:v>
      </x:c>
      <x:c r="H108" s="39" t="str">
        <x:v>Kąt świecenia [°]</x:v>
      </x:c>
      <x:c r="I108" s="52" t="n">
        <x:v>0.97</x:v>
      </x:c>
      <x:c r="J108" s="53" t="str">
        <x:v>OK</x:v>
      </x:c>
      <x:c r="K108" s="39" t="str">
        <x:v>Worksheet!Q53</x:v>
      </x:c>
    </x:row>
    <x:row r="109">
      <x:c r="A109" s="45" t="str">
        <x:v>144556</x:v>
      </x:c>
      <x:c r="B109" s="45" t="str">
        <x:v>001807/KOB</x:v>
      </x:c>
      <x:c r="C109" s="39" t="str">
        <x:v>Naświetlacz solarny LED z czujnikiem ruchu HALOGEN MHC 5W 4000K 500lm KOBI 001807</x:v>
      </x:c>
      <x:c r="D109" s="39" t="str">
        <x:v>Napięcie [V]</x:v>
      </x:c>
      <x:c r="E109" s="39" t="str">
        <x:v>(puste)</x:v>
      </x:c>
      <x:c r="F109" s="39" t="str">
        <x:v>3</x:v>
      </x:c>
      <x:c r="G109" s="39" t="str">
        <x:v>aktualny XML Kobi</x:v>
      </x:c>
      <x:c r="H109" s="39" t="str">
        <x:v>Napięcie zasilania</x:v>
      </x:c>
      <x:c r="I109" s="52" t="n">
        <x:v>0.97</x:v>
      </x:c>
      <x:c r="J109" s="53" t="str">
        <x:v>OK</x:v>
      </x:c>
      <x:c r="K109" s="39" t="str">
        <x:v>Worksheet!AF53</x:v>
      </x:c>
    </x:row>
    <x:row r="110">
      <x:c r="A110" s="45" t="str">
        <x:v>145163</x:v>
      </x:c>
      <x:c r="B110" s="45" t="str">
        <x:v>001783/KOB</x:v>
      </x:c>
      <x:c r="C110" s="39" t="str">
        <x:v>Ramka montażowa do panelu LED 60X60 63MM klik Kobi 001783</x:v>
      </x:c>
      <x:c r="D110" s="39" t="str">
        <x:v>Kolor</x:v>
      </x:c>
      <x:c r="E110" s="39" t="str">
        <x:v>(puste)</x:v>
      </x:c>
      <x:c r="F110" s="39" t="str">
        <x:v>Biały</x:v>
      </x:c>
      <x:c r="G110" s="39" t="str">
        <x:v>aktualny XML Kobi</x:v>
      </x:c>
      <x:c r="H110" s="39" t="str">
        <x:v>Kolor produktu</x:v>
      </x:c>
      <x:c r="I110" s="52" t="n">
        <x:v>0.97</x:v>
      </x:c>
      <x:c r="J110" s="53" t="str">
        <x:v>OK</x:v>
      </x:c>
      <x:c r="K110" s="39" t="str">
        <x:v>Worksheet!T54</x:v>
      </x:c>
    </x:row>
    <x:row r="111">
      <x:c r="A111" s="45" t="str">
        <x:v>146795</x:v>
      </x:c>
      <x:c r="B111" s="45" t="str">
        <x:v>001866/KOB</x:v>
      </x:c>
      <x:c r="C111" s="39" t="str">
        <x:v>Naświetlacz LED US 300W 5000K IP65 60ST DIM Kobi Pro 001866</x:v>
      </x:c>
      <x:c r="D111" s="39" t="str">
        <x:v>Kąt świecenia [°]</x:v>
      </x:c>
      <x:c r="E111" s="39" t="str">
        <x:v>(puste)</x:v>
      </x:c>
      <x:c r="F111" s="39" t="str">
        <x:v>60</x:v>
      </x:c>
      <x:c r="G111" s="39" t="str">
        <x:v>aktualny XML Kobi</x:v>
      </x:c>
      <x:c r="H111" s="39" t="str">
        <x:v>Kąt świecenia [°]</x:v>
      </x:c>
      <x:c r="I111" s="52" t="n">
        <x:v>0.97</x:v>
      </x:c>
      <x:c r="J111" s="53" t="str">
        <x:v>OK</x:v>
      </x:c>
      <x:c r="K111" s="39" t="str">
        <x:v>Worksheet!Q55</x:v>
      </x:c>
    </x:row>
    <x:row r="112">
      <x:c r="A112" s="45" t="str">
        <x:v>146795</x:v>
      </x:c>
      <x:c r="B112" s="45" t="str">
        <x:v>001866/KOB</x:v>
      </x:c>
      <x:c r="C112" s="39" t="str">
        <x:v>Naświetlacz LED US 300W 5000K IP65 60ST DIM Kobi Pro 001866</x:v>
      </x:c>
      <x:c r="D112" s="39" t="str">
        <x:v>Napięcie [V]</x:v>
      </x:c>
      <x:c r="E112" s="39" t="str">
        <x:v>(puste)</x:v>
      </x:c>
      <x:c r="F112" s="39" t="str">
        <x:v>230</x:v>
      </x:c>
      <x:c r="G112" s="39" t="str">
        <x:v>aktualny XML Kobi</x:v>
      </x:c>
      <x:c r="H112" s="39" t="str">
        <x:v>Napięcie zasilania</x:v>
      </x:c>
      <x:c r="I112" s="52" t="n">
        <x:v>0.97</x:v>
      </x:c>
      <x:c r="J112" s="53" t="str">
        <x:v>OK</x:v>
      </x:c>
      <x:c r="K112" s="39" t="str">
        <x:v>Worksheet!AF55</x:v>
      </x:c>
    </x:row>
    <x:row r="113">
      <x:c r="A113" s="45" t="str">
        <x:v>157177</x:v>
      </x:c>
      <x:c r="B113" s="45" t="str">
        <x:v>001792/KOB</x:v>
      </x:c>
      <x:c r="C113" s="39" t="str">
        <x:v>Oprawa hermetyczna liniowa LED NEGRO 36W 6000K Kobi Premium 001792</x:v>
      </x:c>
      <x:c r="D113" s="39" t="str">
        <x:v>Kąt świecenia [°]</x:v>
      </x:c>
      <x:c r="E113" s="39" t="str">
        <x:v>(puste)</x:v>
      </x:c>
      <x:c r="F113" s="39" t="str">
        <x:v>120</x:v>
      </x:c>
      <x:c r="G113" s="39" t="str">
        <x:v>aktualny XML Kobi</x:v>
      </x:c>
      <x:c r="H113" s="39" t="str">
        <x:v>Kąt świecenia [°]</x:v>
      </x:c>
      <x:c r="I113" s="52" t="n">
        <x:v>0.97</x:v>
      </x:c>
      <x:c r="J113" s="53" t="str">
        <x:v>OK</x:v>
      </x:c>
      <x:c r="K113" s="39" t="str">
        <x:v>Worksheet!Q56</x:v>
      </x:c>
    </x:row>
    <x:row r="114">
      <x:c r="A114" s="45" t="str">
        <x:v>157177</x:v>
      </x:c>
      <x:c r="B114" s="45" t="str">
        <x:v>001792/KOB</x:v>
      </x:c>
      <x:c r="C114" s="39" t="str">
        <x:v>Oprawa hermetyczna liniowa LED NEGRO 36W 6000K Kobi Premium 001792</x:v>
      </x:c>
      <x:c r="D114" s="39" t="str">
        <x:v>Kolor</x:v>
      </x:c>
      <x:c r="E114" s="39" t="str">
        <x:v>(puste)</x:v>
      </x:c>
      <x:c r="F114" s="39" t="str">
        <x:v>Szary</x:v>
      </x:c>
      <x:c r="G114" s="39" t="str">
        <x:v>aktualny XML Kobi</x:v>
      </x:c>
      <x:c r="H114" s="39" t="str">
        <x:v>Kolor produktu</x:v>
      </x:c>
      <x:c r="I114" s="52" t="n">
        <x:v>0.97</x:v>
      </x:c>
      <x:c r="J114" s="53" t="str">
        <x:v>OK</x:v>
      </x:c>
      <x:c r="K114" s="39" t="str">
        <x:v>Worksheet!T56</x:v>
      </x:c>
    </x:row>
    <x:row r="115">
      <x:c r="A115" s="46" t="str">
        <x:v>157177</x:v>
      </x:c>
      <x:c r="B115" s="46" t="str">
        <x:v>001792/KOB</x:v>
      </x:c>
      <x:c r="C115" s="40" t="str">
        <x:v>Oprawa hermetyczna liniowa LED NEGRO 36W 6000K Kobi Premium 001792</x:v>
      </x:c>
      <x:c r="D115" s="40" t="str">
        <x:v>Napięcie [V]</x:v>
      </x:c>
      <x:c r="E115" s="40" t="str">
        <x:v>(puste)</x:v>
      </x:c>
      <x:c r="F115" s="40" t="str">
        <x:v>230</x:v>
      </x:c>
      <x:c r="G115" s="40" t="str">
        <x:v>aktualny XML Kobi</x:v>
      </x:c>
      <x:c r="H115" s="40" t="str">
        <x:v>Napięcie zasilania</x:v>
      </x:c>
      <x:c r="I115" s="54" t="n">
        <x:v>0.97</x:v>
      </x:c>
      <x:c r="J115" s="55" t="str">
        <x:v>OK</x:v>
      </x:c>
      <x:c r="K115" s="40" t="str">
        <x:v>Worksheet!AF56</x:v>
      </x:c>
    </x:row>
  </x:sheetData>
  <x:conditionalFormatting sqref="J2:J115">
    <x:cfRule type="expression" dxfId="0" priority="1">
      <x:formula>J2="OK"</x:formula>
    </x:cfRule>
    <x:cfRule type="expression" dxfId="1" priority="2">
      <x:formula>J2="WARNING"</x:formula>
    </x:cfRule>
    <x:cfRule type="expression" dxfId="2" priority="3">
      <x:formula>J2="DO_SPRAWDZENIA"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46f8cd745bb44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66" hidden="0" customWidth="1"/>
    <x:col min="4" max="4" width="24" hidden="0" customWidth="1"/>
    <x:col min="5" max="5" width="18" hidden="0" customWidth="1"/>
    <x:col min="6" max="6" width="72" hidden="0" customWidth="1"/>
    <x:col min="7" max="7" width="22" hidden="0" customWidth="1"/>
  </x:cols>
  <x:sheetData>
    <x:row r="1" ht="44" customHeight="1">
      <x:c r="A1" s="12" t="str">
        <x:v>ID produktu</x:v>
      </x:c>
      <x:c r="B1" s="12" t="str">
        <x:v>SKU</x:v>
      </x:c>
      <x:c r="C1" s="12" t="str">
        <x:v>Tytuł produktu</x:v>
      </x:c>
      <x:c r="D1" s="12" t="str">
        <x:v>Źródło danych XML</x:v>
      </x:c>
      <x:c r="E1" s="12" t="str">
        <x:v>Liczba uzupełnień</x:v>
      </x:c>
      <x:c r="F1" s="12" t="str">
        <x:v>Uzupełnione atrybuty</x:v>
      </x:c>
      <x:c r="G1" s="12" t="str">
        <x:v>Status kontroli</x:v>
      </x:c>
    </x:row>
    <x:row r="2">
      <x:c r="A2" s="44" t="str">
        <x:v>25274</x:v>
      </x:c>
      <x:c r="B2" s="44" t="str">
        <x:v>KPOH36CH/KOB</x:v>
      </x:c>
      <x:c r="C2" s="38" t="str">
        <x:v>Oprawa Downlight GU10 tuba ruchoma chrom aluminium Kobi OH36 KPOH36CH</x:v>
      </x:c>
      <x:c r="D2" s="38" t="str">
        <x:v>aktualny XML Kobi</x:v>
      </x:c>
      <x:c r="E2" s="56" t="n">
        <x:v>0</x:v>
      </x:c>
      <x:c r="F2" s="38" t="str">
        <x:v>—</x:v>
      </x:c>
      <x:c r="G2" s="51" t="str">
        <x:v>OK</x:v>
      </x:c>
    </x:row>
    <x:row r="3">
      <x:c r="A3" s="45" t="str">
        <x:v>25276</x:v>
      </x:c>
      <x:c r="B3" s="45" t="str">
        <x:v>002091/KOB</x:v>
      </x:c>
      <x:c r="C3" s="39" t="str">
        <x:v>Oprawa Downlight GU10 tuba ruchoma czarna Kobi OH36 KPOH36CZ</x:v>
      </x:c>
      <x:c r="D3" s="39" t="str">
        <x:v>aktualny XML Kobi</x:v>
      </x:c>
      <x:c r="E3" s="57" t="n">
        <x:v>2</x:v>
      </x:c>
      <x:c r="F3" s="39" t="str">
        <x:v>Napięcie [V], Stopień Ochrony [IP]</x:v>
      </x:c>
      <x:c r="G3" s="53" t="str">
        <x:v>OK</x:v>
      </x:c>
    </x:row>
    <x:row r="4">
      <x:c r="A4" s="45" t="str">
        <x:v>25278</x:v>
      </x:c>
      <x:c r="B4" s="45" t="str">
        <x:v>002099/KOB</x:v>
      </x:c>
      <x:c r="C4" s="39" t="str">
        <x:v>Oprawa DWONLIGHT GU10 sześcian ruchomy chrom aluminium KOBI OH37 KPOH37CH</x:v>
      </x:c>
      <x:c r="D4" s="39" t="str">
        <x:v>aktualny XML Kobi</x:v>
      </x:c>
      <x:c r="E4" s="57" t="n">
        <x:v>2</x:v>
      </x:c>
      <x:c r="F4" s="39" t="str">
        <x:v>Napięcie [V], Stopień Ochrony [IP]</x:v>
      </x:c>
      <x:c r="G4" s="53" t="str">
        <x:v>OK</x:v>
      </x:c>
    </x:row>
    <x:row r="5">
      <x:c r="A5" s="45" t="str">
        <x:v>32072</x:v>
      </x:c>
      <x:c r="B5" s="45" t="str">
        <x:v>001605/KOB</x:v>
      </x:c>
      <x:c r="C5" s="39" t="str">
        <x:v>Oprawa hermetyczna IP65 bez statecznika (do świetlówek LED) 2x120CM KOBI HERMETIC KFHCE2120</x:v>
      </x:c>
      <x:c r="D5" s="39" t="str">
        <x:v>aktualny XML Kobi</x:v>
      </x:c>
      <x:c r="E5" s="57" t="n">
        <x:v>4</x:v>
      </x:c>
      <x:c r="F5" s="39" t="str">
        <x:v>Kolor, Napięcie [V], Stopień Ochrony [IP], Trzonek</x:v>
      </x:c>
      <x:c r="G5" s="53" t="str">
        <x:v>OK</x:v>
      </x:c>
    </x:row>
    <x:row r="6">
      <x:c r="A6" s="45" t="str">
        <x:v>32076</x:v>
      </x:c>
      <x:c r="B6" s="45" t="str">
        <x:v>001607/KOB</x:v>
      </x:c>
      <x:c r="C6" s="39" t="str">
        <x:v>Oprawa hermetyczna IP65 bez statecznika (do świetlówek LED) 2x60CM KOBI HERMETIC KFHCE260</x:v>
      </x:c>
      <x:c r="D6" s="39" t="str">
        <x:v>aktualny XML Kobi</x:v>
      </x:c>
      <x:c r="E6" s="57" t="n">
        <x:v>4</x:v>
      </x:c>
      <x:c r="F6" s="39" t="str">
        <x:v>Kolor, Napięcie [V], Stopień Ochrony [IP], Trzonek</x:v>
      </x:c>
      <x:c r="G6" s="53" t="str">
        <x:v>OK</x:v>
      </x:c>
    </x:row>
    <x:row r="7">
      <x:c r="A7" s="45" t="str">
        <x:v>33537</x:v>
      </x:c>
      <x:c r="B7" s="45" t="str">
        <x:v>KQLI10W/KOB</x:v>
      </x:c>
      <x:c r="C7" s="39" t="str">
        <x:v>Oprawa N/T ruchoma 3000K biała LAHTI 10W KQLI10W</x:v>
      </x:c>
      <x:c r="D7" s="39" t="str">
        <x:v>brak dopasowania XML</x:v>
      </x:c>
      <x:c r="E7" s="57" t="n">
        <x:v>0</x:v>
      </x:c>
      <x:c r="F7" s="39" t="str">
        <x:v>—</x:v>
      </x:c>
      <x:c r="G7" s="53" t="str">
        <x:v>DO_SPRAWDZENIA</x:v>
      </x:c>
    </x:row>
    <x:row r="8">
      <x:c r="A8" s="45" t="str">
        <x:v>33541</x:v>
      </x:c>
      <x:c r="B8" s="45" t="str">
        <x:v>002184/KOB</x:v>
      </x:c>
      <x:c r="C8" s="39" t="str">
        <x:v>Oprawa natynkowa gipsowa LINDO CHROME 1XGU10 Biała KRLC</x:v>
      </x:c>
      <x:c r="D8" s="39" t="str">
        <x:v>aktualny XML Kobi</x:v>
      </x:c>
      <x:c r="E8" s="57" t="n">
        <x:v>0</x:v>
      </x:c>
      <x:c r="F8" s="39" t="str">
        <x:v>—</x:v>
      </x:c>
      <x:c r="G8" s="53" t="str">
        <x:v>OK</x:v>
      </x:c>
    </x:row>
    <x:row r="9">
      <x:c r="A9" s="45" t="str">
        <x:v>33545</x:v>
      </x:c>
      <x:c r="B9" s="45" t="str">
        <x:v>002196/KOB</x:v>
      </x:c>
      <x:c r="C9" s="39" t="str">
        <x:v>Oprawa N/T beton 2XGU10 chrom PURO MASSO KRPMC</x:v>
      </x:c>
      <x:c r="D9" s="39" t="str">
        <x:v>aktualny XML Kobi</x:v>
      </x:c>
      <x:c r="E9" s="57" t="n">
        <x:v>0</x:v>
      </x:c>
      <x:c r="F9" s="39" t="str">
        <x:v>—</x:v>
      </x:c>
      <x:c r="G9" s="53" t="str">
        <x:v>OK</x:v>
      </x:c>
    </x:row>
    <x:row r="10">
      <x:c r="A10" s="45" t="str">
        <x:v>33547</x:v>
      </x:c>
      <x:c r="B10" s="45" t="str">
        <x:v>002198/KOB</x:v>
      </x:c>
      <x:c r="C10" s="39" t="str">
        <x:v>Oprawa N/T Gipsowa 2XGU10 Czarna PURO NERO KRPN</x:v>
      </x:c>
      <x:c r="D10" s="39" t="str">
        <x:v>brak dopasowania XML</x:v>
      </x:c>
      <x:c r="E10" s="57" t="n">
        <x:v>0</x:v>
      </x:c>
      <x:c r="F10" s="39" t="str">
        <x:v>—</x:v>
      </x:c>
      <x:c r="G10" s="53" t="str">
        <x:v>DO_SPRAWDZENIA</x:v>
      </x:c>
    </x:row>
    <x:row r="11">
      <x:c r="A11" s="45" t="str">
        <x:v>35178</x:v>
      </x:c>
      <x:c r="B11" s="45" t="str">
        <x:v>001819/KOB</x:v>
      </x:c>
      <x:c r="C11" s="39" t="str">
        <x:v>Lampa uliczna solarna Solar LED Street 15W 4000K Kobi KFNSU15NB</x:v>
      </x:c>
      <x:c r="D11" s="39" t="str">
        <x:v>aktualny XML Kobi</x:v>
      </x:c>
      <x:c r="E11" s="57" t="n">
        <x:v>5</x:v>
      </x:c>
      <x:c r="F11" s="39" t="str">
        <x:v>Kolor, Moc [W], Stopień Ochrony [IP], Strumień świetlny [lm], Temperatura Barwowa [K]</x:v>
      </x:c>
      <x:c r="G11" s="53" t="str">
        <x:v>OK</x:v>
      </x:c>
    </x:row>
    <x:row r="12">
      <x:c r="A12" s="45" t="str">
        <x:v>39750</x:v>
      </x:c>
      <x:c r="B12" s="45" t="str">
        <x:v>002089/KOB</x:v>
      </x:c>
      <x:c r="C12" s="39" t="str">
        <x:v>Oprawa ruchoma do nadbudowania OH36 biała KPOH36BI</x:v>
      </x:c>
      <x:c r="D12" s="39" t="str">
        <x:v>aktualny XML Kobi</x:v>
      </x:c>
      <x:c r="E12" s="57" t="n">
        <x:v>3</x:v>
      </x:c>
      <x:c r="F12" s="39" t="str">
        <x:v>Napięcie [V], Stopień Ochrony [IP], Trzonek</x:v>
      </x:c>
      <x:c r="G12" s="53" t="str">
        <x:v>OK</x:v>
      </x:c>
    </x:row>
    <x:row r="13">
      <x:c r="A13" s="45" t="str">
        <x:v>63877</x:v>
      </x:c>
      <x:c r="B13" s="45" t="str">
        <x:v>002225/KOB</x:v>
      </x:c>
      <x:c r="C13" s="39" t="str">
        <x:v>Lampa KULA OGRODOWA GARDEN BALL L 380mm KAMIEŃ IP65 KOBI KTGBL</x:v>
      </x:c>
      <x:c r="D13" s="39" t="str">
        <x:v>aktualny XML Kobi</x:v>
      </x:c>
      <x:c r="E13" s="57" t="n">
        <x:v>4</x:v>
      </x:c>
      <x:c r="F13" s="39" t="str">
        <x:v>Kolor, Napięcie [V], Stopień Ochrony [IP], Trzonek</x:v>
      </x:c>
      <x:c r="G13" s="53" t="str">
        <x:v>OK</x:v>
      </x:c>
    </x:row>
    <x:row r="14">
      <x:c r="A14" s="45" t="str">
        <x:v>63878</x:v>
      </x:c>
      <x:c r="B14" s="45" t="str">
        <x:v>002226/KOB</x:v>
      </x:c>
      <x:c r="C14" s="39" t="str">
        <x:v>Lampa Kula Ogrodowa Garden Ball M 280mm Kamień IP65 KOBI KTGBM</x:v>
      </x:c>
      <x:c r="D14" s="39" t="str">
        <x:v>aktualny XML Kobi</x:v>
      </x:c>
      <x:c r="E14" s="57" t="n">
        <x:v>4</x:v>
      </x:c>
      <x:c r="F14" s="39" t="str">
        <x:v>Kolor, Napięcie [V], Stopień Ochrony [IP], Trzonek</x:v>
      </x:c>
      <x:c r="G14" s="53" t="str">
        <x:v>OK</x:v>
      </x:c>
    </x:row>
    <x:row r="15">
      <x:c r="A15" s="45" t="str">
        <x:v>63879</x:v>
      </x:c>
      <x:c r="B15" s="45" t="str">
        <x:v>002227/KOB</x:v>
      </x:c>
      <x:c r="C15" s="39" t="str">
        <x:v>Lampa Kula Ogrodowa Garden Ball S 250mm Kamień IP65 KOBI KTGBS</x:v>
      </x:c>
      <x:c r="D15" s="39" t="str">
        <x:v>aktualny XML Kobi</x:v>
      </x:c>
      <x:c r="E15" s="57" t="n">
        <x:v>4</x:v>
      </x:c>
      <x:c r="F15" s="39" t="str">
        <x:v>Kolor, Napięcie [V], Stopień Ochrony [IP], Trzonek</x:v>
      </x:c>
      <x:c r="G15" s="53" t="str">
        <x:v>OK</x:v>
      </x:c>
    </x:row>
    <x:row r="16">
      <x:c r="A16" s="45" t="str">
        <x:v>66024</x:v>
      </x:c>
      <x:c r="B16" s="45" t="str">
        <x:v>002097/KOB</x:v>
      </x:c>
      <x:c r="C16" s="39" t="str">
        <x:v>Oprawa tuba ruchoma do nadbudowania OH36S czarna KPOH36SCZ</x:v>
      </x:c>
      <x:c r="D16" s="39" t="str">
        <x:v>aktualny XML Kobi</x:v>
      </x:c>
      <x:c r="E16" s="57" t="n">
        <x:v>3</x:v>
      </x:c>
      <x:c r="F16" s="39" t="str">
        <x:v>Kolor, Napięcie [V], Stopień Ochrony [IP]</x:v>
      </x:c>
      <x:c r="G16" s="53" t="str">
        <x:v>OK</x:v>
      </x:c>
    </x:row>
    <x:row r="17">
      <x:c r="A17" s="45" t="str">
        <x:v>70472</x:v>
      </x:c>
      <x:c r="B17" s="45" t="str">
        <x:v>002333/KOB</x:v>
      </x:c>
      <x:c r="C17" s="39" t="str">
        <x:v>Oprawa najazdowa dogruntowa okrągła GU10 IP65 ENTRADA 2 Kobi KUEA2</x:v>
      </x:c>
      <x:c r="D17" s="39" t="str">
        <x:v>aktualny XML Kobi</x:v>
      </x:c>
      <x:c r="E17" s="57" t="n">
        <x:v>4</x:v>
      </x:c>
      <x:c r="F17" s="39" t="str">
        <x:v>Napięcie [V], Stopień Ochrony [IP], Trzonek, Kształt</x:v>
      </x:c>
      <x:c r="G17" s="53" t="str">
        <x:v>OK</x:v>
      </x:c>
    </x:row>
    <x:row r="18">
      <x:c r="A18" s="45" t="str">
        <x:v>82175</x:v>
      </x:c>
      <x:c r="B18" s="45" t="str">
        <x:v>001709/KOB</x:v>
      </x:c>
      <x:c r="C18" s="39" t="str">
        <x:v>Oprawa LED HIGH BAY NINA 100W 16000lm 4000K neutralna IP65 Kobi KFNA10114</x:v>
      </x:c>
      <x:c r="D18" s="39" t="str">
        <x:v>brak dopasowania XML</x:v>
      </x:c>
      <x:c r="E18" s="57" t="n">
        <x:v>0</x:v>
      </x:c>
      <x:c r="F18" s="39" t="str">
        <x:v>—</x:v>
      </x:c>
      <x:c r="G18" s="53" t="str">
        <x:v>DO_SPRAWDZENIA</x:v>
      </x:c>
    </x:row>
    <x:row r="19">
      <x:c r="A19" s="45" t="str">
        <x:v>82176</x:v>
      </x:c>
      <x:c r="B19" s="45" t="str">
        <x:v>001711/KOB</x:v>
      </x:c>
      <x:c r="C19" s="39" t="str">
        <x:v>Oprawa LED HIGH BAY NINA 150W 24000lm 4000K neutralna IP65 Kobi KFNA15114</x:v>
      </x:c>
      <x:c r="D19" s="39" t="str">
        <x:v>brak dopasowania XML</x:v>
      </x:c>
      <x:c r="E19" s="57" t="n">
        <x:v>0</x:v>
      </x:c>
      <x:c r="F19" s="39" t="str">
        <x:v>—</x:v>
      </x:c>
      <x:c r="G19" s="53" t="str">
        <x:v>DO_SPRAWDZENIA</x:v>
      </x:c>
    </x:row>
    <x:row r="20">
      <x:c r="A20" s="45" t="str">
        <x:v>82177</x:v>
      </x:c>
      <x:c r="B20" s="45" t="str">
        <x:v>001713/KOB</x:v>
      </x:c>
      <x:c r="C20" s="39" t="str">
        <x:v>Oprawa LED HIGH BAY NINA 200W 32000lm 4000K neutralna IP65 Kobi KFNA20114</x:v>
      </x:c>
      <x:c r="D20" s="39" t="str">
        <x:v>aktualny XML Kobi</x:v>
      </x:c>
      <x:c r="E20" s="57" t="n">
        <x:v>3</x:v>
      </x:c>
      <x:c r="F20" s="39" t="str">
        <x:v>Kąt świecenia [°], Kolor, Napięcie [V]</x:v>
      </x:c>
      <x:c r="G20" s="53" t="str">
        <x:v>OK</x:v>
      </x:c>
    </x:row>
    <x:row r="21">
      <x:c r="A21" s="45" t="str">
        <x:v>83856</x:v>
      </x:c>
      <x:c r="B21" s="45" t="str">
        <x:v>001635/KOB</x:v>
      </x:c>
      <x:c r="C21" s="39" t="str">
        <x:v>Naświetlacz SOLARNY LED NCS 10W 6500K zimny LED2B Kobi KFLNCS10ZB</x:v>
      </x:c>
      <x:c r="D21" s="39" t="str">
        <x:v>aktualny XML Kobi</x:v>
      </x:c>
      <x:c r="E21" s="57" t="n">
        <x:v>2</x:v>
      </x:c>
      <x:c r="F21" s="39" t="str">
        <x:v>Kąt świecenia [°], Napięcie [V]</x:v>
      </x:c>
      <x:c r="G21" s="53" t="str">
        <x:v>OK</x:v>
      </x:c>
    </x:row>
    <x:row r="22">
      <x:c r="A22" s="45" t="str">
        <x:v>83857</x:v>
      </x:c>
      <x:c r="B22" s="45" t="str">
        <x:v>001636/KOB</x:v>
      </x:c>
      <x:c r="C22" s="39" t="str">
        <x:v>Naświetlacz SOLARNY LED NCS 20W 6500K zimny LED2B Kobi KFLNCS20ZB</x:v>
      </x:c>
      <x:c r="D22" s="39" t="str">
        <x:v>aktualny XML Kobi</x:v>
      </x:c>
      <x:c r="E22" s="57" t="n">
        <x:v>2</x:v>
      </x:c>
      <x:c r="F22" s="39" t="str">
        <x:v>Kąt świecenia [°], Napięcie [V]</x:v>
      </x:c>
      <x:c r="G22" s="53" t="str">
        <x:v>OK</x:v>
      </x:c>
    </x:row>
    <x:row r="23">
      <x:c r="A23" s="45" t="str">
        <x:v>86192</x:v>
      </x:c>
      <x:c r="B23" s="45" t="str">
        <x:v>002095/KOB</x:v>
      </x:c>
      <x:c r="C23" s="39" t="str">
        <x:v>Oprawa tuba ruchoma do nadbudowania OH36S biała KPOH36SBI</x:v>
      </x:c>
      <x:c r="D23" s="39" t="str">
        <x:v>aktualny XML Kobi</x:v>
      </x:c>
      <x:c r="E23" s="57" t="n">
        <x:v>3</x:v>
      </x:c>
      <x:c r="F23" s="39" t="str">
        <x:v>Kolor, Napięcie [V], Stopień Ochrony [IP]</x:v>
      </x:c>
      <x:c r="G23" s="53" t="str">
        <x:v>OK</x:v>
      </x:c>
    </x:row>
    <x:row r="24">
      <x:c r="A24" s="45" t="str">
        <x:v>99579</x:v>
      </x:c>
      <x:c r="B24" s="45" t="str">
        <x:v>002223/KOB</x:v>
      </x:c>
      <x:c r="C24" s="39" t="str">
        <x:v>Oprawa ogrodowa kinkiet elewacyjny ENTERA 10W 4000K IP54 KTEACZ</x:v>
      </x:c>
      <x:c r="D24" s="39" t="str">
        <x:v>archiwalny XML Kobi</x:v>
      </x:c>
      <x:c r="E24" s="57" t="n">
        <x:v>1</x:v>
      </x:c>
      <x:c r="F24" s="39" t="str">
        <x:v>Moc [W]</x:v>
      </x:c>
      <x:c r="G24" s="53" t="str">
        <x:v>WARNING</x:v>
      </x:c>
    </x:row>
    <x:row r="25">
      <x:c r="A25" s="45" t="str">
        <x:v>99580</x:v>
      </x:c>
      <x:c r="B25" s="45" t="str">
        <x:v>002224/KOB</x:v>
      </x:c>
      <x:c r="C25" s="39" t="str">
        <x:v>Oprawa ogrodowa kinkiet elewacyjny ENTERA P 10W 4000K IP54 KOBI KTEAPCZ</x:v>
      </x:c>
      <x:c r="D25" s="39" t="str">
        <x:v>aktualny XML Kobi</x:v>
      </x:c>
      <x:c r="E25" s="57" t="n">
        <x:v>1</x:v>
      </x:c>
      <x:c r="F25" s="39" t="str">
        <x:v>Moc [W]</x:v>
      </x:c>
      <x:c r="G25" s="53" t="str">
        <x:v>OK</x:v>
      </x:c>
    </x:row>
    <x:row r="26">
      <x:c r="A26" s="45" t="str">
        <x:v>100654</x:v>
      </x:c>
      <x:c r="B26" s="45" t="str">
        <x:v>001881/KOB</x:v>
      </x:c>
      <x:c r="C26" s="39" t="str">
        <x:v>Oprawa uliczna LED VESPA PRO 40W 4000K neutralna 5600 lm KOBI KFVP40NBAS</x:v>
      </x:c>
      <x:c r="D26" s="39" t="str">
        <x:v>aktualny XML Kobi</x:v>
      </x:c>
      <x:c r="E26" s="57" t="n">
        <x:v>1</x:v>
      </x:c>
      <x:c r="F26" s="39" t="str">
        <x:v>Napięcie [V]</x:v>
      </x:c>
      <x:c r="G26" s="53" t="str">
        <x:v>OK</x:v>
      </x:c>
    </x:row>
    <x:row r="27">
      <x:c r="A27" s="45" t="str">
        <x:v>100655</x:v>
      </x:c>
      <x:c r="B27" s="45" t="str">
        <x:v>001882/KOB</x:v>
      </x:c>
      <x:c r="C27" s="39" t="str">
        <x:v>Oprawa uliczna LED VESPA PRO 60W 4000K neutralna 8400lm KOBI KFVP60NBAS</x:v>
      </x:c>
      <x:c r="D27" s="39" t="str">
        <x:v>aktualny XML Kobi</x:v>
      </x:c>
      <x:c r="E27" s="57" t="n">
        <x:v>1</x:v>
      </x:c>
      <x:c r="F27" s="39" t="str">
        <x:v>Napięcie [V]</x:v>
      </x:c>
      <x:c r="G27" s="53" t="str">
        <x:v>OK</x:v>
      </x:c>
    </x:row>
    <x:row r="28">
      <x:c r="A28" s="45" t="str">
        <x:v>100656</x:v>
      </x:c>
      <x:c r="B28" s="45" t="str">
        <x:v>001876/KOB</x:v>
      </x:c>
      <x:c r="C28" s="39" t="str">
        <x:v>Oprawa uliczna LED VESPA PRO 100W 4000K neutralna 14000lm KOBI KFVP100NBAS</x:v>
      </x:c>
      <x:c r="D28" s="39" t="str">
        <x:v>aktualny XML Kobi</x:v>
      </x:c>
      <x:c r="E28" s="57" t="n">
        <x:v>1</x:v>
      </x:c>
      <x:c r="F28" s="39" t="str">
        <x:v>Napięcie [V]</x:v>
      </x:c>
      <x:c r="G28" s="53" t="str">
        <x:v>OK</x:v>
      </x:c>
    </x:row>
    <x:row r="29">
      <x:c r="A29" s="45" t="str">
        <x:v>100657</x:v>
      </x:c>
      <x:c r="B29" s="45" t="str">
        <x:v>001877/KOB</x:v>
      </x:c>
      <x:c r="C29" s="39" t="str">
        <x:v>Oprawa uliczna LED VESPA PRO 150 W 4000K neutralna 20250lm KOBI KFVP150NBAS</x:v>
      </x:c>
      <x:c r="D29" s="39" t="str">
        <x:v>aktualny XML Kobi</x:v>
      </x:c>
      <x:c r="E29" s="57" t="n">
        <x:v>1</x:v>
      </x:c>
      <x:c r="F29" s="39" t="str">
        <x:v>Napięcie [V]</x:v>
      </x:c>
      <x:c r="G29" s="53" t="str">
        <x:v>OK</x:v>
      </x:c>
    </x:row>
    <x:row r="30">
      <x:c r="A30" s="45" t="str">
        <x:v>102385</x:v>
      </x:c>
      <x:c r="B30" s="45" t="str">
        <x:v>001809/KOB</x:v>
      </x:c>
      <x:c r="C30" s="39" t="str">
        <x:v>Naświetlacz LED z czujnikiem ruchu i panelem solarnym 30W 4000K b. neutralna 4800lm IP65 Kobi KFNSC30NB KFNSCS30NB</x:v>
      </x:c>
      <x:c r="D30" s="39" t="str">
        <x:v>brak dopasowania XML</x:v>
      </x:c>
      <x:c r="E30" s="57" t="n">
        <x:v>0</x:v>
      </x:c>
      <x:c r="F30" s="39" t="str">
        <x:v>—</x:v>
      </x:c>
      <x:c r="G30" s="53" t="str">
        <x:v>DO_SPRAWDZENIA</x:v>
      </x:c>
    </x:row>
    <x:row r="31">
      <x:c r="A31" s="45" t="str">
        <x:v>114149</x:v>
      </x:c>
      <x:c r="B31" s="45" t="str">
        <x:v>001814/KOB</x:v>
      </x:c>
      <x:c r="C31" s="39" t="str">
        <x:v>Naświetlacz Solarny LED MHCS 10W PREMIUM barwa neutralna KOBI KFNSR10NB</x:v>
      </x:c>
      <x:c r="D31" s="39" t="str">
        <x:v>aktualny XML Kobi</x:v>
      </x:c>
      <x:c r="E31" s="57" t="n">
        <x:v>3</x:v>
      </x:c>
      <x:c r="F31" s="39" t="str">
        <x:v>Kąt świecenia [°], Kolor, Napięcie [V]</x:v>
      </x:c>
      <x:c r="G31" s="53" t="str">
        <x:v>OK</x:v>
      </x:c>
    </x:row>
    <x:row r="32">
      <x:c r="A32" s="45" t="str">
        <x:v>125826</x:v>
      </x:c>
      <x:c r="B32" s="45" t="str">
        <x:v>002243/KOB</x:v>
      </x:c>
      <x:c r="C32" s="39" t="str">
        <x:v>Oprawa najazdowa kwadratowa GU10 IP67 INGRESS SQUARE CHROM KTLIOSE</x:v>
      </x:c>
      <x:c r="D32" s="39" t="str">
        <x:v>aktualny XML Kobi</x:v>
      </x:c>
      <x:c r="E32" s="57" t="n">
        <x:v>4</x:v>
      </x:c>
      <x:c r="F32" s="39" t="str">
        <x:v>Napięcie [V], Stopień Ochrony [IP], Trzonek, Kształt</x:v>
      </x:c>
      <x:c r="G32" s="53" t="str">
        <x:v>OK</x:v>
      </x:c>
    </x:row>
    <x:row r="33">
      <x:c r="A33" s="45" t="str">
        <x:v>134785</x:v>
      </x:c>
      <x:c r="B33" s="45" t="str">
        <x:v>001623/KOB</x:v>
      </x:c>
      <x:c r="C33" s="39" t="str">
        <x:v>Oprawa belka LED 40W 4000K 4800lm 120cm KOLINE K1 professional line Kobi KFKE40WNBCZ</x:v>
      </x:c>
      <x:c r="D33" s="39" t="str">
        <x:v>aktualny XML Kobi</x:v>
      </x:c>
      <x:c r="E33" s="57" t="n">
        <x:v>1</x:v>
      </x:c>
      <x:c r="F33" s="39" t="str">
        <x:v>Napięcie [V]</x:v>
      </x:c>
      <x:c r="G33" s="53" t="str">
        <x:v>OK</x:v>
      </x:c>
    </x:row>
    <x:row r="34">
      <x:c r="A34" s="45" t="str">
        <x:v>134796</x:v>
      </x:c>
      <x:c r="B34" s="45" t="str">
        <x:v>001620/KOB</x:v>
      </x:c>
      <x:c r="C34" s="39" t="str">
        <x:v>Oprawa belka LED 40W 4000K 5200lm 120cm KOLINE K1 biała professional line Kobi KFKE40WNBBI</x:v>
      </x:c>
      <x:c r="D34" s="39" t="str">
        <x:v>aktualny XML Kobi</x:v>
      </x:c>
      <x:c r="E34" s="57" t="n">
        <x:v>1</x:v>
      </x:c>
      <x:c r="F34" s="39" t="str">
        <x:v>Napięcie [V]</x:v>
      </x:c>
      <x:c r="G34" s="53" t="str">
        <x:v>OK</x:v>
      </x:c>
    </x:row>
    <x:row r="35">
      <x:c r="A35" s="45" t="str">
        <x:v>134805</x:v>
      </x:c>
      <x:c r="B35" s="45" t="str">
        <x:v>001840/KOB</x:v>
      </x:c>
      <x:c r="C35" s="39" t="str">
        <x:v>Oprawa przemysłowa HIGH BAY LED 100W 4000K 14000lm RIO PRO Kobi KFRP100NB</x:v>
      </x:c>
      <x:c r="D35" s="39" t="str">
        <x:v>aktualny XML Kobi</x:v>
      </x:c>
      <x:c r="E35" s="57" t="n">
        <x:v>4</x:v>
      </x:c>
      <x:c r="F35" s="39" t="str">
        <x:v>Kąt świecenia [°], Kolor, Napięcie [V], Stopień Ochrony [IP]</x:v>
      </x:c>
      <x:c r="G35" s="53" t="str">
        <x:v>OK</x:v>
      </x:c>
    </x:row>
    <x:row r="36">
      <x:c r="A36" s="45" t="str">
        <x:v>134836</x:v>
      </x:c>
      <x:c r="B36" s="45" t="str">
        <x:v>001841/KOB</x:v>
      </x:c>
      <x:c r="C36" s="39" t="str">
        <x:v>Oprawa przemysłowa LED HIGH BAY 150W 4000K 21000lm RIO PRO Kobi KFRP150NB</x:v>
      </x:c>
      <x:c r="D36" s="39" t="str">
        <x:v>aktualny XML Kobi</x:v>
      </x:c>
      <x:c r="E36" s="57" t="n">
        <x:v>4</x:v>
      </x:c>
      <x:c r="F36" s="39" t="str">
        <x:v>Kąt świecenia [°], Kolor, Napięcie [V], Stopień Ochrony [IP]</x:v>
      </x:c>
      <x:c r="G36" s="53" t="str">
        <x:v>OK</x:v>
      </x:c>
    </x:row>
    <x:row r="37">
      <x:c r="A37" s="45" t="str">
        <x:v>134854</x:v>
      </x:c>
      <x:c r="B37" s="45" t="str">
        <x:v>001843/KOB</x:v>
      </x:c>
      <x:c r="C37" s="39" t="str">
        <x:v>Oprawa przemysłowa LED HIGH BAY 200W 4000K 28000lm RIO PRO Kobi KFRP200NB</x:v>
      </x:c>
      <x:c r="D37" s="39" t="str">
        <x:v>archiwalny XML Kobi</x:v>
      </x:c>
      <x:c r="E37" s="57" t="n">
        <x:v>4</x:v>
      </x:c>
      <x:c r="F37" s="39" t="str">
        <x:v>Kąt świecenia [°], Kolor, Napięcie [V], Stopień Ochrony [IP]</x:v>
      </x:c>
      <x:c r="G37" s="53" t="str">
        <x:v>WARNING</x:v>
      </x:c>
    </x:row>
    <x:row r="38">
      <x:c r="A38" s="45" t="str">
        <x:v>142490</x:v>
      </x:c>
      <x:c r="B38" s="45" t="str">
        <x:v>001431/KOB</x:v>
      </x:c>
      <x:c r="C38" s="39" t="str">
        <x:v>Latarka LED mini X-MPR MICRO IP44 370+280lm 500mAh 7 trybów Kobi 001431</x:v>
      </x:c>
      <x:c r="D38" s="39" t="str">
        <x:v>aktualny XML Kobi</x:v>
      </x:c>
      <x:c r="E38" s="57" t="n">
        <x:v>2</x:v>
      </x:c>
      <x:c r="F38" s="39" t="str">
        <x:v>Kąt świecenia [°], Strumień świetlny [lm]</x:v>
      </x:c>
      <x:c r="G38" s="53" t="str">
        <x:v>OK</x:v>
      </x:c>
    </x:row>
    <x:row r="39">
      <x:c r="A39" s="45" t="str">
        <x:v>142500</x:v>
      </x:c>
      <x:c r="B39" s="45" t="str">
        <x:v>001435/KOB</x:v>
      </x:c>
      <x:c r="C39" s="39" t="str">
        <x:v>Girlanda świetlna dekoracyjna 7,74m 10 kul 2500K LED VENEZIA Kobi 001435</x:v>
      </x:c>
      <x:c r="D39" s="39" t="str">
        <x:v>aktualny XML Kobi</x:v>
      </x:c>
      <x:c r="E39" s="57" t="n">
        <x:v>4</x:v>
      </x:c>
      <x:c r="F39" s="39" t="str">
        <x:v>Kolor, Moc [W], Napięcie [V], Strumień świetlny [lm]</x:v>
      </x:c>
      <x:c r="G39" s="53" t="str">
        <x:v>OK</x:v>
      </x:c>
    </x:row>
    <x:row r="40">
      <x:c r="A40" s="45" t="str">
        <x:v>142506</x:v>
      </x:c>
      <x:c r="B40" s="45" t="str">
        <x:v>003671/KOB</x:v>
      </x:c>
      <x:c r="C40" s="39" t="str">
        <x:v>Oprawa hermetyczna LED CORTEZ 18W 2160lm 4000K 62,5cm IP65 Kobi 003671</x:v>
      </x:c>
      <x:c r="D40" s="39" t="str">
        <x:v>aktualny XML Kobi</x:v>
      </x:c>
      <x:c r="E40" s="57" t="n">
        <x:v>3</x:v>
      </x:c>
      <x:c r="F40" s="39" t="str">
        <x:v>Kąt świecenia [°], Kolor, Napięcie [V]</x:v>
      </x:c>
      <x:c r="G40" s="53" t="str">
        <x:v>OK</x:v>
      </x:c>
    </x:row>
    <x:row r="41">
      <x:c r="A41" s="45" t="str">
        <x:v>142510</x:v>
      </x:c>
      <x:c r="B41" s="45" t="str">
        <x:v>003672/KOB</x:v>
      </x:c>
      <x:c r="C41" s="39" t="str">
        <x:v>Oprawa hermetyczna LED CORTEZ 36W 4320lm 4000K 122,5cm IP65 Kobi 003672</x:v>
      </x:c>
      <x:c r="D41" s="39" t="str">
        <x:v>aktualny XML Kobi</x:v>
      </x:c>
      <x:c r="E41" s="57" t="n">
        <x:v>3</x:v>
      </x:c>
      <x:c r="F41" s="39" t="str">
        <x:v>Kąt świecenia [°], Kolor, Napięcie [V]</x:v>
      </x:c>
      <x:c r="G41" s="53" t="str">
        <x:v>OK</x:v>
      </x:c>
    </x:row>
    <x:row r="42">
      <x:c r="A42" s="45" t="str">
        <x:v>142515</x:v>
      </x:c>
      <x:c r="B42" s="45" t="str">
        <x:v>003673/KOB</x:v>
      </x:c>
      <x:c r="C42" s="39" t="str">
        <x:v>Oprawa hermetyczna LED CORTEZ 48W 5760lm 4000K 152,5cm IP65 Kobi 003673</x:v>
      </x:c>
      <x:c r="D42" s="39" t="str">
        <x:v>aktualny XML Kobi</x:v>
      </x:c>
      <x:c r="E42" s="57" t="n">
        <x:v>3</x:v>
      </x:c>
      <x:c r="F42" s="39" t="str">
        <x:v>Kąt świecenia [°], Kolor, Napięcie [V]</x:v>
      </x:c>
      <x:c r="G42" s="53" t="str">
        <x:v>OK</x:v>
      </x:c>
    </x:row>
    <x:row r="43">
      <x:c r="A43" s="45" t="str">
        <x:v>142524</x:v>
      </x:c>
      <x:c r="B43" s="45" t="str">
        <x:v>001580/KOB</x:v>
      </x:c>
      <x:c r="C43" s="39" t="str">
        <x:v>Lampa uliczna z czujnikiem zmierzchu LED CYOTO 100W 4000K 10000lm IP65 Kobi Premium 001580</x:v>
      </x:c>
      <x:c r="D43" s="39" t="str">
        <x:v>aktualny XML Kobi</x:v>
      </x:c>
      <x:c r="E43" s="57" t="n">
        <x:v>1</x:v>
      </x:c>
      <x:c r="F43" s="39" t="str">
        <x:v>Napięcie [V]</x:v>
      </x:c>
      <x:c r="G43" s="53" t="str">
        <x:v>OK</x:v>
      </x:c>
    </x:row>
    <x:row r="44">
      <x:c r="A44" s="45" t="str">
        <x:v>142528</x:v>
      </x:c>
      <x:c r="B44" s="45" t="str">
        <x:v>001581/KOB</x:v>
      </x:c>
      <x:c r="C44" s="39" t="str">
        <x:v>Lampa uliczna z czujnikiem zmierzchu LED CYOTO 50W 4000K 5000lm IP65 Kobi Premium 001581</x:v>
      </x:c>
      <x:c r="D44" s="39" t="str">
        <x:v>archiwalny XML Kobi</x:v>
      </x:c>
      <x:c r="E44" s="57" t="n">
        <x:v>1</x:v>
      </x:c>
      <x:c r="F44" s="39" t="str">
        <x:v>Napięcie [V]</x:v>
      </x:c>
      <x:c r="G44" s="53" t="str">
        <x:v>WARNING</x:v>
      </x:c>
    </x:row>
    <x:row r="45">
      <x:c r="A45" s="45" t="str">
        <x:v>142532</x:v>
      </x:c>
      <x:c r="B45" s="45" t="str">
        <x:v>001694/KOB</x:v>
      </x:c>
      <x:c r="C45" s="39" t="str">
        <x:v>Plafon LED NAIROS G2 12W 1260lm zmienna barwa 3CCT IP65 biały Kobi Premium 001694</x:v>
      </x:c>
      <x:c r="D45" s="39" t="str">
        <x:v>aktualny XML Kobi</x:v>
      </x:c>
      <x:c r="E45" s="57" t="n">
        <x:v>1</x:v>
      </x:c>
      <x:c r="F45" s="39" t="str">
        <x:v>Kąt świecenia [°]</x:v>
      </x:c>
      <x:c r="G45" s="53" t="str">
        <x:v>OK</x:v>
      </x:c>
    </x:row>
    <x:row r="46">
      <x:c r="A46" s="45" t="str">
        <x:v>142535</x:v>
      </x:c>
      <x:c r="B46" s="45" t="str">
        <x:v>001695/KOB</x:v>
      </x:c>
      <x:c r="C46" s="39" t="str">
        <x:v>Plafon LED NAIROS G2 12W 1140lm zmienna barwa 3CCT IP65 czarny Kobi Premium 001695</x:v>
      </x:c>
      <x:c r="D46" s="39" t="str">
        <x:v>aktualny XML Kobi</x:v>
      </x:c>
      <x:c r="E46" s="57" t="n">
        <x:v>1</x:v>
      </x:c>
      <x:c r="F46" s="39" t="str">
        <x:v>Kąt świecenia [°]</x:v>
      </x:c>
      <x:c r="G46" s="53" t="str">
        <x:v>OK</x:v>
      </x:c>
    </x:row>
    <x:row r="47">
      <x:c r="A47" s="45" t="str">
        <x:v>142539</x:v>
      </x:c>
      <x:c r="B47" s="45" t="str">
        <x:v>001701/KOB</x:v>
      </x:c>
      <x:c r="C47" s="39" t="str">
        <x:v>Plafon LED z czujnikiem ruchu NAIROS G2 12W 1260lm zmienna barwa 3CCT IP65 biały Kobi Premium 001701</x:v>
      </x:c>
      <x:c r="D47" s="39" t="str">
        <x:v>aktualny XML Kobi</x:v>
      </x:c>
      <x:c r="E47" s="57" t="n">
        <x:v>1</x:v>
      </x:c>
      <x:c r="F47" s="39" t="str">
        <x:v>Kąt świecenia [°]</x:v>
      </x:c>
      <x:c r="G47" s="53" t="str">
        <x:v>OK</x:v>
      </x:c>
    </x:row>
    <x:row r="48">
      <x:c r="A48" s="45" t="str">
        <x:v>142544</x:v>
      </x:c>
      <x:c r="B48" s="45" t="str">
        <x:v>001696/KOB</x:v>
      </x:c>
      <x:c r="C48" s="39" t="str">
        <x:v>Plafon LED NAIROS G2 18W 1890lm zmienna barwa 3CCT IP65 biały Kobi Premium 001696</x:v>
      </x:c>
      <x:c r="D48" s="39" t="str">
        <x:v>aktualny XML Kobi</x:v>
      </x:c>
      <x:c r="E48" s="57" t="n">
        <x:v>1</x:v>
      </x:c>
      <x:c r="F48" s="39" t="str">
        <x:v>Kąt świecenia [°]</x:v>
      </x:c>
      <x:c r="G48" s="53" t="str">
        <x:v>OK</x:v>
      </x:c>
    </x:row>
    <x:row r="49">
      <x:c r="A49" s="45" t="str">
        <x:v>142547</x:v>
      </x:c>
      <x:c r="B49" s="45" t="str">
        <x:v>001703/KOB</x:v>
      </x:c>
      <x:c r="C49" s="39" t="str">
        <x:v>Plafon LED z czujnikiem ruchu NAIROS G2 18W 1890lm zmienna barwa 3CCT IP65 biały Kobi Premium 001703</x:v>
      </x:c>
      <x:c r="D49" s="39" t="str">
        <x:v>aktualny XML Kobi</x:v>
      </x:c>
      <x:c r="E49" s="57" t="n">
        <x:v>1</x:v>
      </x:c>
      <x:c r="F49" s="39" t="str">
        <x:v>Kąt świecenia [°]</x:v>
      </x:c>
      <x:c r="G49" s="53" t="str">
        <x:v>OK</x:v>
      </x:c>
    </x:row>
    <x:row r="50">
      <x:c r="A50" s="45" t="str">
        <x:v>142574</x:v>
      </x:c>
      <x:c r="B50" s="45" t="str">
        <x:v>001726/KOB</x:v>
      </x:c>
      <x:c r="C50" s="39" t="str">
        <x:v>Oprawa hermetyczna liniowa LED NEXFORCE N2 120 cm 36W 6300lm 4000K neutralna IP66 Kobi 001726</x:v>
      </x:c>
      <x:c r="D50" s="39" t="str">
        <x:v>aktualny XML Kobi</x:v>
      </x:c>
      <x:c r="E50" s="57" t="n">
        <x:v>3</x:v>
      </x:c>
      <x:c r="F50" s="39" t="str">
        <x:v>Kąt świecenia [°], Kolor, Napięcie [V]</x:v>
      </x:c>
      <x:c r="G50" s="53" t="str">
        <x:v>OK</x:v>
      </x:c>
    </x:row>
    <x:row r="51">
      <x:c r="A51" s="45" t="str">
        <x:v>142581</x:v>
      </x:c>
      <x:c r="B51" s="45" t="str">
        <x:v>001727/KOB</x:v>
      </x:c>
      <x:c r="C51" s="39" t="str">
        <x:v>Oprawa hermetyczna liniowa LED NEXFORCE N2 150cm 52W 9000lm 4000K neutralna IP66 Kobi 001727</x:v>
      </x:c>
      <x:c r="D51" s="39" t="str">
        <x:v>aktualny XML Kobi</x:v>
      </x:c>
      <x:c r="E51" s="57" t="n">
        <x:v>3</x:v>
      </x:c>
      <x:c r="F51" s="39" t="str">
        <x:v>Kąt świecenia [°], Kolor, Napięcie [V]</x:v>
      </x:c>
      <x:c r="G51" s="53" t="str">
        <x:v>OK</x:v>
      </x:c>
    </x:row>
    <x:row r="52">
      <x:c r="A52" s="45" t="str">
        <x:v>143665</x:v>
      </x:c>
      <x:c r="B52" s="45" t="str">
        <x:v>001820/KOB</x:v>
      </x:c>
      <x:c r="C52" s="39" t="str">
        <x:v>Lampa uliczna z czujnikiem ruchu solarna 30W 3000/4000K 4800lm 2CCT IP65 Kobi Premium 001820</x:v>
      </x:c>
      <x:c r="D52" s="39" t="str">
        <x:v>aktualny XML Kobi</x:v>
      </x:c>
      <x:c r="E52" s="57" t="n">
        <x:v>2</x:v>
      </x:c>
      <x:c r="F52" s="39" t="str">
        <x:v>Napięcie [V], Stopień Ochrony [IP]</x:v>
      </x:c>
      <x:c r="G52" s="53" t="str">
        <x:v>OK</x:v>
      </x:c>
    </x:row>
    <x:row r="53">
      <x:c r="A53" s="45" t="str">
        <x:v>144556</x:v>
      </x:c>
      <x:c r="B53" s="45" t="str">
        <x:v>001807/KOB</x:v>
      </x:c>
      <x:c r="C53" s="39" t="str">
        <x:v>Naświetlacz solarny LED z czujnikiem ruchu HALOGEN MHC 5W 4000K 500lm KOBI 001807</x:v>
      </x:c>
      <x:c r="D53" s="39" t="str">
        <x:v>aktualny XML Kobi</x:v>
      </x:c>
      <x:c r="E53" s="57" t="n">
        <x:v>2</x:v>
      </x:c>
      <x:c r="F53" s="39" t="str">
        <x:v>Kąt świecenia [°], Napięcie [V]</x:v>
      </x:c>
      <x:c r="G53" s="53" t="str">
        <x:v>OK</x:v>
      </x:c>
    </x:row>
    <x:row r="54">
      <x:c r="A54" s="45" t="str">
        <x:v>145163</x:v>
      </x:c>
      <x:c r="B54" s="45" t="str">
        <x:v>001783/KOB</x:v>
      </x:c>
      <x:c r="C54" s="39" t="str">
        <x:v>Ramka montażowa do panelu LED 60X60 63MM klik Kobi 001783</x:v>
      </x:c>
      <x:c r="D54" s="39" t="str">
        <x:v>aktualny XML Kobi</x:v>
      </x:c>
      <x:c r="E54" s="57" t="n">
        <x:v>1</x:v>
      </x:c>
      <x:c r="F54" s="39" t="str">
        <x:v>Kolor</x:v>
      </x:c>
      <x:c r="G54" s="53" t="str">
        <x:v>OK</x:v>
      </x:c>
    </x:row>
    <x:row r="55">
      <x:c r="A55" s="45" t="str">
        <x:v>146795</x:v>
      </x:c>
      <x:c r="B55" s="45" t="str">
        <x:v>001866/KOB</x:v>
      </x:c>
      <x:c r="C55" s="39" t="str">
        <x:v>Naświetlacz LED US 300W 5000K IP65 60ST DIM Kobi Pro 001866</x:v>
      </x:c>
      <x:c r="D55" s="39" t="str">
        <x:v>aktualny XML Kobi</x:v>
      </x:c>
      <x:c r="E55" s="57" t="n">
        <x:v>2</x:v>
      </x:c>
      <x:c r="F55" s="39" t="str">
        <x:v>Kąt świecenia [°], Napięcie [V]</x:v>
      </x:c>
      <x:c r="G55" s="53" t="str">
        <x:v>OK</x:v>
      </x:c>
    </x:row>
    <x:row r="56">
      <x:c r="A56" s="46" t="str">
        <x:v>157177</x:v>
      </x:c>
      <x:c r="B56" s="46" t="str">
        <x:v>001792/KOB</x:v>
      </x:c>
      <x:c r="C56" s="40" t="str">
        <x:v>Oprawa hermetyczna liniowa LED NEGRO 36W 6000K Kobi Premium 001792</x:v>
      </x:c>
      <x:c r="D56" s="40" t="str">
        <x:v>aktualny XML Kobi</x:v>
      </x:c>
      <x:c r="E56" s="58" t="n">
        <x:v>3</x:v>
      </x:c>
      <x:c r="F56" s="40" t="str">
        <x:v>Kąt świecenia [°], Kolor, Napięcie [V]</x:v>
      </x:c>
      <x:c r="G56" s="55" t="str">
        <x:v>OK</x:v>
      </x:c>
    </x:row>
  </x:sheetData>
  <x:conditionalFormatting sqref="G2:G56">
    <x:cfRule type="expression" dxfId="3" priority="1">
      <x:formula>G2="OK"</x:formula>
    </x:cfRule>
    <x:cfRule type="expression" dxfId="4" priority="2">
      <x:formula>G2="WARNING"</x:formula>
    </x:cfRule>
    <x:cfRule type="expression" dxfId="5" priority="3">
      <x:formula>G2="DO_SPRAWDZENIA"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7a634545bf042b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0" hidden="0" customWidth="1"/>
    <x:col min="3" max="3" width="24" hidden="0" customWidth="1"/>
    <x:col min="4" max="4" width="22" hidden="0" customWidth="1"/>
    <x:col min="5" max="5" width="27" hidden="0" customWidth="1"/>
  </x:cols>
  <x:sheetData>
    <x:row r="1" ht="34" customHeight="1">
      <x:c r="A1" s="3" t="str">
        <x:v>Produkty bez bezpośredniego dopasowania do XML</x:v>
      </x:c>
      <x:c r="B1" s="3"/>
      <x:c r="C1" s="3"/>
      <x:c r="D1" s="3"/>
      <x:c r="E1" s="3"/>
    </x:row>
    <x:row r="2" ht="44" customHeight="1">
      <x:c r="A2" s="61" t="str">
        <x:v>Dla tych produktów zachowano istniejące wartości; uzupełnienia wykonywano wyłącznie wtedy, gdy wartość była jednoznaczna w tytule produktu.</x:v>
      </x:c>
      <x:c r="B2" s="61"/>
      <x:c r="C2" s="61"/>
      <x:c r="D2" s="61"/>
      <x:c r="E2" s="61"/>
    </x:row>
    <x:row r="4" ht="44" customHeight="1">
      <x:c r="A4" s="12" t="str">
        <x:v>SKU</x:v>
      </x:c>
      <x:c r="B4" s="12" t="str">
        <x:v>Tytuł produktu</x:v>
      </x:c>
      <x:c r="C4" s="12" t="str">
        <x:v>Kod użyty do wyszukania</x:v>
      </x:c>
      <x:c r="D4" s="12" t="str">
        <x:v>Liczba uzupełnień</x:v>
      </x:c>
      <x:c r="E4" s="12" t="str">
        <x:v>Status</x:v>
      </x:c>
    </x:row>
    <x:row r="5">
      <x:c r="A5" s="44" t="str">
        <x:v>KQLI10W/KOB</x:v>
      </x:c>
      <x:c r="B5" s="44" t="str">
        <x:v>Oprawa N/T ruchoma 3000K biała LAHTI 10W KQLI10W</x:v>
      </x:c>
      <x:c r="C5" s="62" t="str">
        <x:v>000010</x:v>
      </x:c>
      <x:c r="D5" s="51" t="n">
        <x:v>0</x:v>
      </x:c>
      <x:c r="E5" s="51" t="str">
        <x:v>DO_SPRAWDZENIA</x:v>
      </x:c>
    </x:row>
    <x:row r="6">
      <x:c r="A6" s="45" t="str">
        <x:v>002198/KOB</x:v>
      </x:c>
      <x:c r="B6" s="45" t="str">
        <x:v>Oprawa N/T Gipsowa 2XGU10 Czarna PURO NERO KRPN</x:v>
      </x:c>
      <x:c r="C6" s="63" t="str">
        <x:v>002198</x:v>
      </x:c>
      <x:c r="D6" s="53" t="n">
        <x:v>0</x:v>
      </x:c>
      <x:c r="E6" s="53" t="str">
        <x:v>DO_SPRAWDZENIA</x:v>
      </x:c>
    </x:row>
    <x:row r="7">
      <x:c r="A7" s="45" t="str">
        <x:v>001709/KOB</x:v>
      </x:c>
      <x:c r="B7" s="45" t="str">
        <x:v>Oprawa LED HIGH BAY NINA 100W 16000lm 4000K neutralna IP65 Kobi KFNA10114</x:v>
      </x:c>
      <x:c r="C7" s="63" t="str">
        <x:v>001709</x:v>
      </x:c>
      <x:c r="D7" s="53" t="n">
        <x:v>0</x:v>
      </x:c>
      <x:c r="E7" s="53" t="str">
        <x:v>DO_SPRAWDZENIA</x:v>
      </x:c>
    </x:row>
    <x:row r="8">
      <x:c r="A8" s="45" t="str">
        <x:v>001711/KOB</x:v>
      </x:c>
      <x:c r="B8" s="45" t="str">
        <x:v>Oprawa LED HIGH BAY NINA 150W 24000lm 4000K neutralna IP65 Kobi KFNA15114</x:v>
      </x:c>
      <x:c r="C8" s="63" t="str">
        <x:v>001711</x:v>
      </x:c>
      <x:c r="D8" s="53" t="n">
        <x:v>0</x:v>
      </x:c>
      <x:c r="E8" s="53" t="str">
        <x:v>DO_SPRAWDZENIA</x:v>
      </x:c>
    </x:row>
    <x:row r="9">
      <x:c r="A9" s="46" t="str">
        <x:v>001809/KOB</x:v>
      </x:c>
      <x:c r="B9" s="46" t="str">
        <x:v>Naświetlacz LED z czujnikiem ruchu i panelem solarnym 30W 4000K b. neutralna 4800lm IP65 Kobi KFNSC30NB KFNSCS30NB</x:v>
      </x:c>
      <x:c r="C9" s="64" t="str">
        <x:v>001809</x:v>
      </x:c>
      <x:c r="D9" s="55" t="n">
        <x:v>0</x:v>
      </x:c>
      <x:c r="E9" s="55" t="str">
        <x:v>DO_SPRAWDZENIA</x:v>
      </x:c>
    </x:row>
  </x:sheetData>
  <x:mergeCells>
    <x:mergeCell ref="A1:E1"/>
    <x:mergeCell ref="A2:E2"/>
  </x:mergeCells>
  <x:conditionalFormatting sqref="E5:E9">
    <x:cfRule type="expression" dxfId="6" priority="1">
      <x:formula>E5="OK"</x:formula>
    </x:cfRule>
    <x:cfRule type="expression" dxfId="7" priority="2">
      <x:formula>E5="WARNING"</x:formula>
    </x:cfRule>
    <x:cfRule type="expression" dxfId="8" priority="3">
      <x:formula>E5="DO_SPRAWDZENIA"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4897c7f5b694eb4"/>
  </x:tableParts>
</x:worksheet>
</file>