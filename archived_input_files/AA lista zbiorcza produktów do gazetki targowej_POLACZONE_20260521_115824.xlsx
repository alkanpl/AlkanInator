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andlowiec\Desktop\AlkanInator\input\"/>
    </mc:Choice>
  </mc:AlternateContent>
  <xr:revisionPtr revIDLastSave="0" documentId="13_ncr:1_{415A7112-DBEA-460A-8ACF-05FA3841DF44}" xr6:coauthVersionLast="47" xr6:coauthVersionMax="47" xr10:uidLastSave="{00000000-0000-0000-0000-000000000000}"/>
  <bookViews>
    <workbookView xWindow="-120" yWindow="-120" windowWidth="29040" windowHeight="15720" xr2:uid="{00000000-000D-0000-FFFF-FFFF00000000}"/>
  </bookViews>
  <sheets>
    <sheet name="Arkusz1" sheetId="1" r:id="rId1"/>
  </sheets>
  <definedNames>
    <definedName name="_xlnm._FilterDatabase" localSheetId="0" hidden="1">Arkusz1!$A$1:$CF$77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0nnrvBkEpUUyP539zF5gqdFt+WuqRbs6fCsBEedNhkc="/>
    </ext>
  </extLst>
</workbook>
</file>

<file path=xl/calcChain.xml><?xml version="1.0" encoding="utf-8"?>
<calcChain xmlns="http://schemas.openxmlformats.org/spreadsheetml/2006/main">
  <c r="I77" i="1" l="1"/>
  <c r="C77" i="1"/>
  <c r="I76" i="1"/>
  <c r="C76" i="1"/>
  <c r="I75" i="1"/>
  <c r="C75" i="1"/>
  <c r="I74" i="1"/>
  <c r="I73" i="1"/>
  <c r="I72" i="1"/>
  <c r="I71" i="1"/>
  <c r="I70" i="1"/>
  <c r="I69" i="1"/>
  <c r="C69" i="1"/>
  <c r="I68" i="1"/>
  <c r="I67" i="1"/>
  <c r="C67" i="1"/>
  <c r="I66" i="1"/>
  <c r="C66" i="1"/>
  <c r="I65" i="1"/>
  <c r="C65" i="1"/>
  <c r="I64" i="1"/>
  <c r="C64" i="1"/>
  <c r="I63" i="1"/>
  <c r="C63" i="1"/>
  <c r="I62" i="1"/>
  <c r="C62" i="1"/>
  <c r="I61" i="1"/>
  <c r="C61" i="1"/>
  <c r="I60" i="1"/>
  <c r="C60" i="1"/>
  <c r="I59" i="1"/>
  <c r="C59" i="1"/>
  <c r="I58" i="1"/>
  <c r="I57" i="1"/>
  <c r="C57" i="1"/>
  <c r="I56" i="1"/>
  <c r="I55" i="1"/>
  <c r="C55" i="1"/>
  <c r="I54" i="1"/>
  <c r="C54" i="1"/>
  <c r="I53" i="1"/>
  <c r="C53" i="1"/>
  <c r="I52" i="1"/>
  <c r="C52" i="1"/>
  <c r="I51" i="1"/>
  <c r="C51" i="1"/>
  <c r="I50" i="1"/>
  <c r="C50" i="1"/>
  <c r="I49" i="1"/>
  <c r="I48" i="1"/>
  <c r="I47" i="1"/>
  <c r="I46" i="1"/>
  <c r="I45" i="1"/>
  <c r="I44" i="1"/>
  <c r="C44" i="1"/>
  <c r="I43" i="1"/>
  <c r="C43" i="1"/>
  <c r="I42" i="1"/>
  <c r="C42" i="1"/>
  <c r="I41" i="1"/>
  <c r="C41" i="1"/>
  <c r="I40" i="1"/>
  <c r="C40" i="1"/>
  <c r="I39" i="1"/>
  <c r="C39" i="1"/>
  <c r="I38" i="1"/>
  <c r="C38" i="1"/>
  <c r="I37" i="1"/>
  <c r="C37" i="1"/>
  <c r="I36" i="1"/>
  <c r="C36" i="1"/>
  <c r="I35" i="1"/>
  <c r="C35" i="1"/>
  <c r="I34" i="1"/>
  <c r="C34" i="1"/>
  <c r="I33" i="1"/>
  <c r="C33" i="1"/>
  <c r="I32" i="1"/>
  <c r="C32" i="1"/>
  <c r="I31" i="1"/>
  <c r="C31" i="1"/>
  <c r="I30" i="1"/>
  <c r="C30" i="1"/>
  <c r="I29" i="1"/>
  <c r="C29" i="1"/>
  <c r="I28" i="1"/>
  <c r="C28" i="1"/>
  <c r="I27" i="1"/>
  <c r="C27" i="1"/>
  <c r="I26" i="1"/>
  <c r="C26" i="1"/>
  <c r="I25" i="1"/>
  <c r="C25" i="1"/>
  <c r="I24" i="1"/>
  <c r="C24" i="1"/>
  <c r="I23" i="1"/>
  <c r="C23" i="1"/>
  <c r="I22" i="1"/>
  <c r="C22" i="1"/>
  <c r="I21" i="1"/>
  <c r="C21" i="1"/>
  <c r="I20" i="1"/>
  <c r="C20" i="1"/>
  <c r="I19" i="1"/>
  <c r="I18" i="1"/>
  <c r="C18" i="1"/>
  <c r="I17" i="1"/>
  <c r="C17" i="1"/>
  <c r="I16" i="1"/>
  <c r="C16" i="1"/>
  <c r="I15" i="1"/>
  <c r="C15" i="1"/>
  <c r="I14" i="1"/>
  <c r="C14" i="1"/>
  <c r="I13" i="1"/>
  <c r="C13" i="1"/>
  <c r="I12" i="1"/>
  <c r="C12" i="1"/>
  <c r="I11" i="1"/>
  <c r="C11" i="1"/>
  <c r="I10" i="1"/>
  <c r="C10" i="1"/>
  <c r="I9" i="1"/>
  <c r="C9" i="1"/>
  <c r="I8" i="1"/>
  <c r="C8" i="1"/>
  <c r="I7" i="1"/>
  <c r="C7" i="1"/>
  <c r="I6" i="1"/>
  <c r="C6" i="1"/>
  <c r="I5" i="1"/>
  <c r="I4" i="1"/>
  <c r="I3" i="1"/>
  <c r="I2" i="1"/>
</calcChain>
</file>

<file path=xl/sharedStrings.xml><?xml version="1.0" encoding="utf-8"?>
<sst xmlns="http://schemas.openxmlformats.org/spreadsheetml/2006/main" count="1917" uniqueCount="820">
  <si>
    <t>Do założenia w Ekonomie</t>
  </si>
  <si>
    <t>Producent</t>
  </si>
  <si>
    <t>Kod towaru</t>
  </si>
  <si>
    <t>Kod Producenta</t>
  </si>
  <si>
    <t>Suffix</t>
  </si>
  <si>
    <t>Nazwa produktu</t>
  </si>
  <si>
    <t>EAN</t>
  </si>
  <si>
    <t>Cena zakupu</t>
  </si>
  <si>
    <t>Zakup brutto</t>
  </si>
  <si>
    <t>Cena promo</t>
  </si>
  <si>
    <t>Cena regularna</t>
  </si>
  <si>
    <t>Opis</t>
  </si>
  <si>
    <t>Karta katalogowa</t>
  </si>
  <si>
    <t>Uwagi</t>
  </si>
  <si>
    <t>TAK</t>
  </si>
  <si>
    <t>Bemko</t>
  </si>
  <si>
    <t>C17-HLB2-150-580-4K/BMK</t>
  </si>
  <si>
    <t>C17-HLB2-150-580-4K</t>
  </si>
  <si>
    <t>BEM</t>
  </si>
  <si>
    <t>OPRAWA HERMETYCZNA LED BALWIR 2 38W-58W 4000K 6466LM-9280LM IP65</t>
  </si>
  <si>
    <t>Karty w PDF</t>
  </si>
  <si>
    <t>C49-LTW09/BMK</t>
  </si>
  <si>
    <t>C49-LTW09</t>
  </si>
  <si>
    <t>LATARKA WIELOFUNKCYJNA LED 6000mAh IP42</t>
  </si>
  <si>
    <t>C72BLS066420CCTWH/BMK</t>
  </si>
  <si>
    <t>C72-BLS-066-420-CCT-WH</t>
  </si>
  <si>
    <t>PANEL BACKLIGHT SUPERIOR BLS 30/36/42W 3000/4000/6500K</t>
  </si>
  <si>
    <t>C72-BLO-066-340-4K-BL/BMK</t>
  </si>
  <si>
    <t>C72-BLO-066-340-4K-BL</t>
  </si>
  <si>
    <t>PANEL BACKLIGHT BLO NT OKRĄGŁY 34W 4400LM 4000K IP40 FI60 CZARNY</t>
  </si>
  <si>
    <t>EATON</t>
  </si>
  <si>
    <t>EAT</t>
  </si>
  <si>
    <t>EP-501966</t>
  </si>
  <si>
    <t>Ogranicznik przepięć do fotowoltaiki Typ  2 1000VDC</t>
  </si>
  <si>
    <t>BF-O-3/72-P Płytka rozdzielnica natynkowa</t>
  </si>
  <si>
    <t>ZP-A63/3 Rozłącznik</t>
  </si>
  <si>
    <t>ZP-ASA/230 Wyzwalacz wzrostowy</t>
  </si>
  <si>
    <t>-</t>
  </si>
  <si>
    <t>ELKO-BIS</t>
  </si>
  <si>
    <t>ELB</t>
  </si>
  <si>
    <t>Pręt uziomowy „Elkonomic” z trzpieniem L-1500mm; fi16mm</t>
  </si>
  <si>
    <t>Służy do wykonania pionowych uziomów (typu A) dzięki zwielokrotnieniu długości uziomu możliwe poprzez wciskanie kolejnych elementów, lub pogrążanie w ziemi z wykorzystaniem szpica. Produkt dostępny w trzech wersjach materiałowych: stal ocynkowana ogniowo z warstwą powłoki do 100 µm, stal nierdzewna V2A oraz stal nierdzewna - kwasoodporna V4A. Produkt spełnia wymogi normy PN-EN IEC 62561-2:2018-04. Doskonale nadaje się do wykonywania uziemień w infrastrukturze energetycznej, kolejowej i w budownictwie.</t>
  </si>
  <si>
    <t>Uchwyt plastikowy z obciążnikiem</t>
  </si>
  <si>
    <t>Służy do prowadzenia drutu odgromowego Ø8-Ø10 na dachach płaskich. Uchwyt może być klejony do podłoża za pomocą ELKO-FIX 99300199.</t>
  </si>
  <si>
    <t>Złącze krzyżowe 1–otworowe M10x35</t>
  </si>
  <si>
    <t>Służy do krzyżowego połączenia drutu odgromowego lub połączenia drutu z obróbką blacharską przy attykach. Złącze składa się z 2 części o grubości 2 mm, skręcanych za pomocą jednej śruby M8. Wersja 95500201 wykonana jest z blachy 2,5 mm i skręcana za pomocą śruby M10. Przeznaczony do drutu odgromowego Ø8-10 mm.</t>
  </si>
  <si>
    <t>Ogranicznik przepięć ESPAC V T12</t>
  </si>
  <si>
    <t>Wysokowydajny ogranicznik przepięć w wykonaniu czterobiegunowym o szerokości modułowej 72 mm zapewnia ochronę przed przepięciami będącymi skutkami bezpośrednich i pośrednich uderzeń pioruna np. w domach, biurach lub budynkach przemysłowych. Wyposażony w moduły wymienne posiadające wskaźnik optyczny informujący o stanie aparatu: zielony - sprawny, czerwony - należy wymienić moduł. Instalacja aparatu jest możliwa w dwóch pozycjach na szynie TH 35. Montaż na granicy stref LPZ 0 i LPZ 1 i wyższych, dla budynków o LPL III i IV. Możliwość podania na zaciski zasilania przewodem lub szyną - widełkową oraz sztyftową Prezentowany ogranicznik przepięć serii ESPAC V T12 12,5/275 znajduje zastosowanie w obiektach budowlanych o układzie sieci TN-S oraz TN-C-S.</t>
  </si>
  <si>
    <t>EPN</t>
  </si>
  <si>
    <t>2465-00</t>
  </si>
  <si>
    <t xml:space="preserve">ELEGANT RN 4x12 PE+N; BIAŁY; IP 40; </t>
  </si>
  <si>
    <t>2465-50</t>
  </si>
  <si>
    <t xml:space="preserve">ELEGANT TWIN RN 2x12 PE+N + 2x12 MULTIMEDIALNA; BIAŁY; IP 40; </t>
  </si>
  <si>
    <t>EPO</t>
  </si>
  <si>
    <t>39.999</t>
  </si>
  <si>
    <t>ELESIL Silikon Elektro GELEBOX 20kV/mm 100ml</t>
  </si>
  <si>
    <t>https://www.transfernow.net/dl/alkan</t>
  </si>
  <si>
    <t>18.90</t>
  </si>
  <si>
    <t>Taśma Ostrzegawcza Samoprzylepna 5cm x 33m TOS-5zz żółto-zielona</t>
  </si>
  <si>
    <t>55.66</t>
  </si>
  <si>
    <t>Gniazdo Hermetyczne GHN IP66 szary</t>
  </si>
  <si>
    <t>EPS</t>
  </si>
  <si>
    <t>04.1R/EPS</t>
  </si>
  <si>
    <t>04.1R</t>
  </si>
  <si>
    <t>W osobnym pliku</t>
  </si>
  <si>
    <t>06.53</t>
  </si>
  <si>
    <t>RURA  SZTYWNA  RSO 40 ODGROMOWA 3 M SZAR</t>
  </si>
  <si>
    <t>05.174</t>
  </si>
  <si>
    <t>PESZEL CZARNY Z PILOTEM 25/19/PVC/PIL/UV</t>
  </si>
  <si>
    <t>ETI</t>
  </si>
  <si>
    <t>001101214</t>
  </si>
  <si>
    <t>ERP18-4</t>
  </si>
  <si>
    <t>Obudowa rozdzielnicy p/t</t>
  </si>
  <si>
    <t>001101216</t>
  </si>
  <si>
    <t>ERP18-5</t>
  </si>
  <si>
    <t>002172406</t>
  </si>
  <si>
    <t>KZS-2M2p EDI A B16/0.03</t>
  </si>
  <si>
    <t>Wyłącznik różnicowoprądowy z zabezpieczeniem nadprądowym</t>
  </si>
  <si>
    <t>002173814</t>
  </si>
  <si>
    <t>KZS-AFDD 3M2p A B16/0.03</t>
  </si>
  <si>
    <t>F&amp;F</t>
  </si>
  <si>
    <t>PSR-463-AUTO</t>
  </si>
  <si>
    <t>FIF</t>
  </si>
  <si>
    <t>PSR-463-AUTO - Automatyczny przełącznik sieć - agregat,</t>
  </si>
  <si>
    <t>GTV</t>
  </si>
  <si>
    <t>HT1P169</t>
  </si>
  <si>
    <t>Hydrauliczna zaciskarka do kabli, 16-300</t>
  </si>
  <si>
    <t>HT5K279-2-S</t>
  </si>
  <si>
    <t>EDGAR II spodnie ochronne grafitowe S (48)</t>
  </si>
  <si>
    <t>HT5K279-2-M</t>
  </si>
  <si>
    <t>EDGAR II spodnie ochronne grafitowe M (50)</t>
  </si>
  <si>
    <t>HT5K279-2-L</t>
  </si>
  <si>
    <t>EDGAR II spodnie ochronne grafitowe L (52)</t>
  </si>
  <si>
    <t>HT5K279-2-XL</t>
  </si>
  <si>
    <t>EDGAR II spodnie ochronne grafitowe XL (54)</t>
  </si>
  <si>
    <t>HT5K279-2-2XL</t>
  </si>
  <si>
    <t>EDGAR II spodnie ochronne grafitowe 2XL (56)</t>
  </si>
  <si>
    <t>HT5K279-2-3XL</t>
  </si>
  <si>
    <t>EDGAR II spodnie ochronne grafitowe 3XL (58)</t>
  </si>
  <si>
    <t>HT5K284-1-S</t>
  </si>
  <si>
    <t>EDGAR II bluza ochronna grafitowa S (48)</t>
  </si>
  <si>
    <t>HT5K284-1-M</t>
  </si>
  <si>
    <t>EDGAR II bluza ochronna grafitowa M (50)</t>
  </si>
  <si>
    <t>HT5K284-1-L</t>
  </si>
  <si>
    <t>EDGAR II bluza ochronna grafitowa L (52)</t>
  </si>
  <si>
    <t>HT5K284-1-XL</t>
  </si>
  <si>
    <t>EDGAR II bluza ochronna grafitowa XL (54)</t>
  </si>
  <si>
    <t>HT5K284-1-2XL</t>
  </si>
  <si>
    <t>EDGAR II bluza ochronna grafitowa 2XL (56)</t>
  </si>
  <si>
    <t>HT5K284-1-3XL</t>
  </si>
  <si>
    <t>EDGAR II bluza ochronna grafitowa 3XL (58)</t>
  </si>
  <si>
    <t>Hager</t>
  </si>
  <si>
    <t>HAG</t>
  </si>
  <si>
    <t>ADZ316D</t>
  </si>
  <si>
    <t xml:space="preserve">RCBO Wyłącznik różnicowoprądowy z czł. nadpr. 3x1P+N 6kA B 16A/30mA Typ A QC/QBB </t>
  </si>
  <si>
    <t>WL4800</t>
  </si>
  <si>
    <t xml:space="preserve">lumina Gniazdo zasilające z uziemieniem z ładowarką USB C 2,4 A / 12W, biały </t>
  </si>
  <si>
    <t>SPE440S</t>
  </si>
  <si>
    <t xml:space="preserve">SPD Ogranicznik przepięć T2 4P 4+0 sieć TN-S In=20kA Imax =40kA Up≤1,35kV  </t>
  </si>
  <si>
    <t>Helukabel</t>
  </si>
  <si>
    <t>HLK</t>
  </si>
  <si>
    <t>SOLARFLEX-X H1Z2Z2-K 1X6 QMM CZARNY, DO INSTALACJI FOTOWOLTAICZNYCH</t>
  </si>
  <si>
    <t>SOLARFLEX-X H1Z2Z2-K 1X6 QMM CZERWONY, DO INSTALACJI FOTOWOLTAICZNYCH</t>
  </si>
  <si>
    <t>11024828/HLK</t>
  </si>
  <si>
    <t>HELUKABEL GNIAZDO MC4 EVO 2 DLA 4-6 QMM ŚREDNICA PRZEWODU 4,7-6,4 MM PV-KBT4/6I-UR</t>
  </si>
  <si>
    <t>11024829/HLK</t>
  </si>
  <si>
    <t>HELUKABEL WTYK MC4 EVO 2 DLA 4-6 QMM ŚREDNICA PRZEWODU 4,7-6,4 MM PV-KST4/6I-UR</t>
  </si>
  <si>
    <t>Kanlux</t>
  </si>
  <si>
    <t>28997/KAN</t>
  </si>
  <si>
    <t>KAN</t>
  </si>
  <si>
    <t>REKA SOLAR15 6W-L-GR</t>
  </si>
  <si>
    <t xml:space="preserve">Kanlux REKA Solar to nowoczesna solarna oprawa elewacyjna. Regulacja kąta świecenia w zakresie 0-90°, szczelność IP65 i możliwość wyboru temperatury barwowej sprawiają. Dodatkowym atutem jest wbudowany czujnik mikrofalowy, który posiada trzy tryby pracy. </t>
  </si>
  <si>
    <t>WWW</t>
  </si>
  <si>
    <t>283szt</t>
  </si>
  <si>
    <t>45930/KAN</t>
  </si>
  <si>
    <t>STONO 20 MLK</t>
  </si>
  <si>
    <t>Kanlux STONO MLK to klasyczna wersja ogrodowych kul z mlecznym kloszem, która zapewnia miękkie, równomiernie rozproszone światło i subtelny efekt po zmroku. STONO MLK to ponadczasowe, dekoracyjne oświetlenie, które buduje przyjemny klimat wokół domu.</t>
  </si>
  <si>
    <t>272szt</t>
  </si>
  <si>
    <t>39740/KAN</t>
  </si>
  <si>
    <t>ENELO 10W NW</t>
  </si>
  <si>
    <t>Kanlux ENELO to proste i niezawodne plafoniery LED do codziennego użytku. Sprawdzą się w korytarzach czy klatkach schodowych a dzięki klasie szczelności IP44 również w pomieszczeniach o podwyższonej wilgotności, jak łazienki. wszystkie w barwie . To uniwersalne i funkcjonalne rozwiązanie do domów oraz budynków użytkowych objęte 3-letnią gwarancją.</t>
  </si>
  <si>
    <t>1329szt</t>
  </si>
  <si>
    <t>Lange</t>
  </si>
  <si>
    <t>ST057770</t>
  </si>
  <si>
    <t>LAN</t>
  </si>
  <si>
    <t>Czujnik obecności i ruchu Steinel IS 2360-3 ECO fi 24m max. 2000W biały</t>
  </si>
  <si>
    <t>https://langelukaszuk.pl/czujnik-ruchu-obecnosci-steinel-is-2360-3-eco-fi-24m-max-2000w-ip54-230v-bialy</t>
  </si>
  <si>
    <t>ST081706</t>
  </si>
  <si>
    <t>Czujnik obecności i ruchu Steinel IS 2360-3 ECO fi 24m max. 2000W czarny</t>
  </si>
  <si>
    <t>https://langelukaszuk.pl/czujnik-ruchu-obecnosci-steinel-is-2360-3-eco-fi-24m-max-2000w-ip54-230v-czarny</t>
  </si>
  <si>
    <t>FL06381216</t>
  </si>
  <si>
    <t>Zestaw elektryczny XL-Strongbox FELO - E-SMART SLIM / [12 cz.].</t>
  </si>
  <si>
    <t>FL58095095</t>
  </si>
  <si>
    <t>Zestaw 2 szczypiec VDE: kombinerki 180mm, obcinaczki boczne 160</t>
  </si>
  <si>
    <t>FL41792191</t>
  </si>
  <si>
    <t>Zestaw dwóch wkrętaków FELO Ergonic VDE plus/minus Z1/Z2</t>
  </si>
  <si>
    <t>Ledvance</t>
  </si>
  <si>
    <t>LDV</t>
  </si>
  <si>
    <t>Lampa led ogrodowa Wifi RGBW z  USB</t>
  </si>
  <si>
    <t>https://www.transfernow.net/dl/20260511XbNkotQ2</t>
  </si>
  <si>
    <t>4099854487026/LDV</t>
  </si>
  <si>
    <t>Naświetlacz led Endura 20W z sensorem</t>
  </si>
  <si>
    <t>Lampa led z czujnikiem ruchu filament</t>
  </si>
  <si>
    <t>4099854725623/LDV</t>
  </si>
  <si>
    <t>Oprawa liniowa Damp Proof Fit  led IP65 z regulacją mocy i barwy</t>
  </si>
  <si>
    <t>Morek</t>
  </si>
  <si>
    <t>MAA5016A11</t>
  </si>
  <si>
    <t>MOR</t>
  </si>
  <si>
    <t xml:space="preserve">Złączka OTL16-5x szary,niebieski, żó/ziel 5x1xAl/Cu 1,5-16 mm²1000V AC/1500V DC Zacisk uniwersalny </t>
  </si>
  <si>
    <t>MAA5050A10</t>
  </si>
  <si>
    <t xml:space="preserve">Złączka OTL50-5x szary,niebieski, żó/ziel 5x1xAl/Cu 1,5–50 mm² 1000V AC/1500V DC Zacisk uniwersalny </t>
  </si>
  <si>
    <t>MAA5095A10</t>
  </si>
  <si>
    <t xml:space="preserve">Złączka OTL95-5x szary,niebieski, żó/ziel 5x1xAl/Cu 6–95 mm² 1000V AC/1500V DC Zacisk uniwersalny </t>
  </si>
  <si>
    <t>MAG1251A00</t>
  </si>
  <si>
    <t>HLAK 25 1P szary 2xAl/Cu 25mm²+16mm² 1000VAC/1500VDC Blok dystrybucyjny - rozdzielczy</t>
  </si>
  <si>
    <t>MAG1251B00</t>
  </si>
  <si>
    <t>HLAK 25 1P niebieski 2xAl/Cu 25mm²+16mm² 1000VAC/1500VDC Blok dystrybucyjny - rozdzielczy</t>
  </si>
  <si>
    <t>MAG1251G00</t>
  </si>
  <si>
    <t>HLAK 25 1P zielony 2xAl/Cu 25mm²+16mm² 1000VAC/1500VDC Blok dystrybucyjny - rozdzielczy</t>
  </si>
  <si>
    <t>MAG5253ABG</t>
  </si>
  <si>
    <t>HLAK 25 5P szary, niebieski, zielony 2xAl/Cu 25mm²+16mm² 1000VAC/1500VDC Blok dystrybucyjny - rozdzielczy</t>
  </si>
  <si>
    <t>PCE</t>
  </si>
  <si>
    <t>92501T48163</t>
  </si>
  <si>
    <t>PRZEDŁUŻACZ XRELL</t>
  </si>
  <si>
    <t>Przedłużacz X-REEL 92501T48163
Bęben z tworzywa o średnicy Ø250mm
• 4 x GS16A 250V zabezpieczone
• zabezpieczenie termiczne, lampka sygnalizująca, wtyczka gumowa uni-schuko
• Długość przewodu - 30m
• Rodzaj przewodu: H05RR-F(OW) 3x1,5
• Kolor przewodu: czarny
• IP20</t>
  </si>
  <si>
    <t>92501T48223</t>
  </si>
  <si>
    <t>Przedłużacz X-REEL 92501T48223
Bęben z tworzywa o średnicy Ø250mm
• 4 x GS16A 250V zabezpieczone
• zabezpieczenie termiczne, lampka sygnalizująca, wtyczka gumowa uni-schuko
• Długość przewodu - 20m
• Rodzaj przewodu: H05RR-F(OW) 3x2,5
• Kolor przewodu: czarny
• IP20</t>
  </si>
  <si>
    <t>160815421W/PCE</t>
  </si>
  <si>
    <t>160815421W</t>
  </si>
  <si>
    <t>Gniazda stałe COMBO-POL2</t>
  </si>
  <si>
    <t>Gniazdo stałe COMBO-POL2 160815421W
• gniazdo CEE 16A 5P 400V (3P+N+PE), pozycja styku ochronnego 6h
• 2 x GS16A 250V
• rozłącznik / wyłącznik L-0-P
• zaciski śrubowe
• obudowa z tworzywa sztucznego PA6
• kolor identyfikacyjny: czerwony
• stopień ochrony IP44</t>
  </si>
  <si>
    <t>909110002W</t>
  </si>
  <si>
    <t>ROZDZIELNICA OPOLE</t>
  </si>
  <si>
    <t>Rozdzielnica OPOLE 909110002W
• rozdzielnica przenośna z obudową z tworzywa sztucznego
• 1 x gniazdo CEE 16A 5P 400V                                   • 1 x gniazdo CEE 32A 5P 400V
• 4 x GS16A 250V
• okienko 14 modułowe
• wyposażona w wyłącznik różnicowoprądowy
• uchwyt transportowy
• stopień ochrony IP54</t>
  </si>
  <si>
    <t>Plastrol</t>
  </si>
  <si>
    <t>W-100518/PLST</t>
  </si>
  <si>
    <t>W-100518</t>
  </si>
  <si>
    <t>PLST</t>
  </si>
  <si>
    <t>Przedłuzacz bebnowy z automatycznym zwijaczem 14+2m</t>
  </si>
  <si>
    <t>W-00318/PLST</t>
  </si>
  <si>
    <t>W-00318</t>
  </si>
  <si>
    <t>Naswietlacz akumulatorowy KEL, 40W, 6500 lm, 4000 mAh,</t>
  </si>
  <si>
    <t>W-00315/PLST</t>
  </si>
  <si>
    <t>W-00315</t>
  </si>
  <si>
    <t>Reflektor roboczy potrójny na statywie KEL, 40W, 3200 lm</t>
  </si>
  <si>
    <t>W-00354/PLST</t>
  </si>
  <si>
    <t>W-00354</t>
  </si>
  <si>
    <t>Listwa przepieciowa, 6 gniazd 2p+Z oraz gniazdami USB A, USB</t>
  </si>
  <si>
    <t>Rawlplug</t>
  </si>
  <si>
    <t>R-PCN18-27-XL2/RAW</t>
  </si>
  <si>
    <t>R-PCN18-27-XL2</t>
  </si>
  <si>
    <t>RAW</t>
  </si>
  <si>
    <t xml:space="preserve">Osadzak z 2 akumulatorami </t>
  </si>
  <si>
    <t>Simet</t>
  </si>
  <si>
    <t>SIM</t>
  </si>
  <si>
    <t>Puszka podtynkowa SE2x60D niebieski</t>
  </si>
  <si>
    <t>https://www.simet.com.pl/produkty/puszka-podtynkowa-2x60-mm-gleboka-szeregowa-do-elektroniki/</t>
  </si>
  <si>
    <t>Puszka podtynkowa S60DFw pomarańczowy</t>
  </si>
  <si>
    <t>https://www.simet.com.pl/produkty/puszka-podtynkowa-60-mm-gleboka-szeregowa-z-wkretami-2/</t>
  </si>
  <si>
    <t>Puszka do pustych ścian PV60D niebieski</t>
  </si>
  <si>
    <t>https://www.simet.com.pl/produkty/puszka-do-pustych-scian-60-mm-gleboka-laczona/</t>
  </si>
  <si>
    <t>match_status</t>
  </si>
  <si>
    <t>gazetki_Plik ?r?d?owy</t>
  </si>
  <si>
    <t>gazetki_Do założenia w Ekonomie</t>
  </si>
  <si>
    <t>gazetki_Producent</t>
  </si>
  <si>
    <t>gazetki_Kod Producenta</t>
  </si>
  <si>
    <t>gazetki_Nazwa produktu</t>
  </si>
  <si>
    <t>gazetki_EAN</t>
  </si>
  <si>
    <t>gazetki_Cena zakupu</t>
  </si>
  <si>
    <t>gazetki_KGO</t>
  </si>
  <si>
    <t>gazetki_Opis</t>
  </si>
  <si>
    <t>gazetki_Karta katalogowa</t>
  </si>
  <si>
    <t>gazetki_Atrybuty</t>
  </si>
  <si>
    <t>gazetki___working_title</t>
  </si>
  <si>
    <t>gazetki_attr_typ</t>
  </si>
  <si>
    <t>gazetki_attr_rodzaj</t>
  </si>
  <si>
    <t>gazetki_attr_moc</t>
  </si>
  <si>
    <t>gazetki_attr_napiecie</t>
  </si>
  <si>
    <t>gazetki_attr_barwa</t>
  </si>
  <si>
    <t>gazetki_attr_barwa_zakres</t>
  </si>
  <si>
    <t>gazetki_attr_strumien</t>
  </si>
  <si>
    <t>gazetki_attr_lm_w</t>
  </si>
  <si>
    <t>gazetki_attr_ip</t>
  </si>
  <si>
    <t>gazetki_attr_ik</t>
  </si>
  <si>
    <t>gazetki_attr_kat_swiecenia</t>
  </si>
  <si>
    <t>gazetki_attr_kolor</t>
  </si>
  <si>
    <t>gazetki_attr_producent</t>
  </si>
  <si>
    <t>gazetki_attr_seria</t>
  </si>
  <si>
    <t>gazetki_attr_model</t>
  </si>
  <si>
    <t>gazetki_attr_wymiary</t>
  </si>
  <si>
    <t>gazetki_attr_ksztalt</t>
  </si>
  <si>
    <t>gazetki_attr_dlugosc</t>
  </si>
  <si>
    <t>gazetki_attr_szerokosc</t>
  </si>
  <si>
    <t>gazetki_attr_wysokosc</t>
  </si>
  <si>
    <t>gazetki_attr_czujnik</t>
  </si>
  <si>
    <t>gazetki_attr_ilosc_sztuk</t>
  </si>
  <si>
    <t>gazetki_attr_eco</t>
  </si>
  <si>
    <t>gazetki_attr_gwarancja</t>
  </si>
  <si>
    <t>gazetki_attr_gwint</t>
  </si>
  <si>
    <t>gazetki_attr_srednica</t>
  </si>
  <si>
    <t>gazetki_attr_material</t>
  </si>
  <si>
    <t>gazetki_attr_pasuje_do</t>
  </si>
  <si>
    <t>gazetki_attr_sterowanie</t>
  </si>
  <si>
    <t>gazetki_attr_prad</t>
  </si>
  <si>
    <t>gazetki_attr_przekroj</t>
  </si>
  <si>
    <t>gazetki_attr_liczba_biegunow</t>
  </si>
  <si>
    <t>gazetki_attr_liczba_modulow</t>
  </si>
  <si>
    <t>gazetki_attr_czulosc</t>
  </si>
  <si>
    <t>gazetki_attr_zwarciowa_zdolnosc</t>
  </si>
  <si>
    <t>gazetki_attr_dlugosc_przewodu</t>
  </si>
  <si>
    <t>gazetki_attr_pojemnosc</t>
  </si>
  <si>
    <t>gazetki_attr_sila</t>
  </si>
  <si>
    <t>gazetki_attr_energia</t>
  </si>
  <si>
    <t>gazetki_attr_zakres_gwozdzi</t>
  </si>
  <si>
    <t>gazetki_attribute_sources</t>
  </si>
  <si>
    <t>gazetki_attribute_confidence</t>
  </si>
  <si>
    <t>gazetki_product_type_prefix</t>
  </si>
  <si>
    <t>gazetki_product_role</t>
  </si>
  <si>
    <t>gazetki_accessory_type</t>
  </si>
  <si>
    <t>gazetki_product_role_reasons</t>
  </si>
  <si>
    <t>gazetki_old_title</t>
  </si>
  <si>
    <t>gazetki_new_title</t>
  </si>
  <si>
    <t>gazetki_title_status</t>
  </si>
  <si>
    <t>gazetki_title_length</t>
  </si>
  <si>
    <t>gazetki_changed_fields</t>
  </si>
  <si>
    <t>gazetki_warnings</t>
  </si>
  <si>
    <t>gazetki_category_fit_status</t>
  </si>
  <si>
    <t>gazetki_category_fit_reasons</t>
  </si>
  <si>
    <t>gazetki_Kategoria</t>
  </si>
  <si>
    <t>gazetki_Typ</t>
  </si>
  <si>
    <t>gazetki_Zdjęcie URL</t>
  </si>
  <si>
    <t>MATCH</t>
  </si>
  <si>
    <t>Gazetka produkty.xlsx</t>
  </si>
  <si>
    <t>Dane świetlne
Barwa światła	4000K
Kąt rozsyłu	120°
Strumień świetlny	9280lm
Wskaźnik oddawania barw (CRI)	CRI&gt;80
Dane montażowe
Długość	1460mm
Szerokość	80mm
Wysokość	66mm
Certyfikaty i oznaczenia
Gwarancja	5 lat
Klasa ochronności	Class I
PZH	TAK
Stopień ochrony (IK)	IK08
Stopień szczelności	IP65
Dane mechaniczne
Materiał	Obudowa: PC, klosz: PC
Kolor	Obudowa: RAL 7035
Dane elektryczne
Moc w trybie włączenia (Pon)	Pon: 58W
Napięcie znamionowe	Un: 230V~ 50Hz
Zasilanie	Przelotowe
Inne
Karton	8
Montaż	Natynkowy/zwieszany, rozstaw uchwytów: 820mm ÷ 980mm
Paleta	160
Rodzaj produktu	Wyposażony
Temperatura pracy	-20°C / +40°C
Trwałość	L80B10: 70000h
Współczynnik mocy	PF&gt;0,9
Marka	Bemko</t>
  </si>
  <si>
    <t>Oprawa hermetyczna LED</t>
  </si>
  <si>
    <t>38W</t>
  </si>
  <si>
    <t>230V</t>
  </si>
  <si>
    <t>4000K</t>
  </si>
  <si>
    <t>6466lm</t>
  </si>
  <si>
    <t>IP65</t>
  </si>
  <si>
    <t>IK08</t>
  </si>
  <si>
    <t>120°</t>
  </si>
  <si>
    <t>szary</t>
  </si>
  <si>
    <t>HERMETYCZNA BALWIR</t>
  </si>
  <si>
    <t>1460x80mm</t>
  </si>
  <si>
    <t>1460mm</t>
  </si>
  <si>
    <t>80mm</t>
  </si>
  <si>
    <t>66mm</t>
  </si>
  <si>
    <t>5 lat</t>
  </si>
  <si>
    <t>Obudowa: PC, klosz: PC</t>
  </si>
  <si>
    <t>{"barwa": "title", "dlugosc": "text_columns", "gwarancja": "text_columns", "ik": "text_columns", "ip": "title", "kat_swiecenia": "text_columns", "kolor": "text_columns", "material": "text_columns", "moc": "title", "napiecie": "text_columns", "producent": "producer_column", "seria": "title", "strumien": "title", "szerokosc": "text_columns", "wymiary": "text_columns", "wysokosc": "text_columns"}</t>
  </si>
  <si>
    <t>{"barwa": 0.98, "dlugosc": 0.88, "gwarancja": 0.88, "ik": 0.88, "ip": 0.98, "kat_swiecenia": 0.88, "kolor": 0.88, "material": 0.88, "moc": 0.98, "napiecie": 0.88, "producent": 0.99, "seria": 0.65, "strumien": 0.95, "szerokosc": 0.88, "wymiary": 0.88, "wysokosc": 0.88}</t>
  </si>
  <si>
    <t>main</t>
  </si>
  <si>
    <t>Oprawa hermetyczna LED Balwir 2 38W 6466lm 4000K IP65 Bemko C17-HLB2-150-580-4K</t>
  </si>
  <si>
    <t>OK</t>
  </si>
  <si>
    <t>title</t>
  </si>
  <si>
    <t>https://bemko.pl/files/images/b83/500___hlb-150-550-1-bemko.jpg</t>
  </si>
  <si>
    <t xml:space="preserve">
Dane mechaniczne
Materiał	Aluminium, nylon, magnes
Dane elektryczne
Moc	5W (prz_x001F_ód), 20W (boki)
Dane świetlne
Barwa światła	3000K / 4000K / 6500K
Strumień świetlny	2000lm
Dane montażowe
Długość	78mm
Średnica	210mm
Certyfikaty i oznaczenia
Gwarancja	3 lata
Stopień szczelności	IP42
Pakowanie
Karton	10
Inne
Akumulator	Li-ion 6000mAh 3,7V
Temperatura pracy	max. +60°C
Marka	Bemko</t>
  </si>
  <si>
    <t>LATARKA</t>
  </si>
  <si>
    <t>5-20W</t>
  </si>
  <si>
    <t>3000-6500K</t>
  </si>
  <si>
    <t>2000lm</t>
  </si>
  <si>
    <t>IP42</t>
  </si>
  <si>
    <t>60°</t>
  </si>
  <si>
    <t>LATARKA WIELOFUNKCYJNA</t>
  </si>
  <si>
    <t>6000mAh</t>
  </si>
  <si>
    <t>78mm</t>
  </si>
  <si>
    <t>3 lat</t>
  </si>
  <si>
    <t>210mm</t>
  </si>
  <si>
    <t>Aluminium, nylon, magnes</t>
  </si>
  <si>
    <t>{"barwa": "text_columns", "barwa_zakres": "text_columns", "dlugosc": "text_columns", "gwarancja": "text_columns", "ip": "title", "kat_swiecenia": "text_columns", "material": "text_columns", "moc": "text_columns", "model": "title", "pojemnosc": "text_columns", "producent": "producer_column", "seria": "title", "srednica": "text_columns", "strumien": "text_columns"}</t>
  </si>
  <si>
    <t>{"barwa": 0.88, "barwa_zakres": 0.88, "dlugosc": 0.88, "gwarancja": 0.88, "ip": 0.98, "kat_swiecenia": 0.88, "material": 0.88, "moc": 0.88, "model": 0.6, "pojemnosc": 0.88, "producent": 0.99, "seria": 0.65, "srednica": 0.88, "strumien": 0.88}</t>
  </si>
  <si>
    <t>Latarka wielofunkcyjna LED 5-20W 2000lm 3000-6500K 6000mAh IP42 Bemko C49-LTW09</t>
  </si>
  <si>
    <t>https://bemko.pl/files/images/ee8/ltw09-1-bemko.jpg</t>
  </si>
  <si>
    <t xml:space="preserve">
Dane mechaniczne
Materiał	Stop aluminium, tworzywo sztuczne
Kolor	obudowa: RAL9003
Dane elektryczne
Moc w trybie włączenia (Pon)	Pon: 30W/36W/42W
Napięcie znamionowe	Un: 230V~50Hz
Dane świetlne
Barwa światła	3000K/4000K/6500K
Kąt rozsyłu	90°
Strumień świetlny	4310lm/5100lm/5620lm
Wskaźnik oddawania barw (CRI)	CRI&gt;90
Dane montażowe
Długość	595mm
Szerokość	595mm
Wysokość	35mm
Certyfikaty i oznaczenia
Gwarancja	5 lat
Klasa ochronności	Class II
Stopień ochrony (IK)	IK03
Stopień szczelności	IP20/IP65
Pakowanie
Karton	6
Inne
Rodzaj produktu	Wyposażony
Temperatura pracy	-10°C / +45°C
Trwałość	L80B10:100000h
UGR	UGR&lt;19
Współczynnik mocy	PF&gt;0,9
Marka	Luxmena</t>
  </si>
  <si>
    <t>Panel LED</t>
  </si>
  <si>
    <t>42W</t>
  </si>
  <si>
    <t>4310-5620lm</t>
  </si>
  <si>
    <t>IP20/IP65</t>
  </si>
  <si>
    <t>IK03</t>
  </si>
  <si>
    <t>90°</t>
  </si>
  <si>
    <t>bialy</t>
  </si>
  <si>
    <t>BACKLIGHT SUPERIOR</t>
  </si>
  <si>
    <t>595x595mm</t>
  </si>
  <si>
    <t>595mm</t>
  </si>
  <si>
    <t>35mm</t>
  </si>
  <si>
    <t>Stop aluminium, tworzywo sztuczne</t>
  </si>
  <si>
    <t>{"barwa": "text_columns", "barwa_zakres": "text_columns", "dlugosc": "text_columns", "gwarancja": "text_columns", "ik": "text_columns", "ip": "text_columns", "kat_swiecenia": "text_columns", "kolor": "text_columns", "material": "text_columns", "moc": "title", "napiecie": "text_columns", "producent": "producer_column", "seria": "title", "strumien": "text_columns", "szerokosc": "text_columns", "wymiary": "text_columns", "wysokosc": "text_columns"}</t>
  </si>
  <si>
    <t>{"barwa": 0.88, "barwa_zakres": 0.88, "dlugosc": 0.88, "gwarancja": 0.88, "ik": 0.88, "ip": 0.88, "kat_swiecenia": 0.88, "kolor": 0.88, "material": 0.88, "moc": 0.98, "napiecie": 0.88, "producent": 0.99, "seria": 0.65, "strumien": 0.88, "szerokosc": 0.88, "wymiary": 0.88, "wysokosc": 0.88}</t>
  </si>
  <si>
    <t>Panel LED backlight Superior BLS 42W 4310-5620lm 3000-6500K 595x595mm IP20/IP65 biała Bemko C72-BLS-066-420-CCT-WH</t>
  </si>
  <si>
    <t>https://bemko.pl/files/images/4e5/bls-066-420-cct-wh-1-bemko.jpg</t>
  </si>
  <si>
    <t>Specyfikacja techniczna
Dane mechaniczne
Materiał	Stop aluminium, tworzywo sztuczne
Kolor	RAL 9005
Dane elektryczne
Napięcie znamionowe	Un: 230V~ 50Hz
Moc	34W
Dane świetlne
Barwa światła	4000K
Kąt rozsyłu	120°
Strumień świetlny	4400lm
Wskaźnik oddawania barw (CRI)	CRI&gt;80
Dane montażowe
Długość	600mm
Szerokość	600mm
Wysokość	38mm
Certyfikaty i oznaczenia
Gwarancja	5 lat
Klasa ochronności	Class I
Stopień ochrony (IK)	IK03
Stopień szczelności	IP40
Pakowanie
Karton	5
Inne
Rodzaj produktu	Wyposażony
Temperatura pracy	-10°C / +45°C
Trwałość	L70B50: 50000h
Współczynnik mocy	DF&gt;0,9
Marka	Luxmena</t>
  </si>
  <si>
    <t>34W</t>
  </si>
  <si>
    <t>4400lm</t>
  </si>
  <si>
    <t>IP40</t>
  </si>
  <si>
    <t>czarny</t>
  </si>
  <si>
    <t>BACKLIGHT BLO</t>
  </si>
  <si>
    <t>FI60</t>
  </si>
  <si>
    <t>600x600mm</t>
  </si>
  <si>
    <t>okrągła</t>
  </si>
  <si>
    <t>600mm</t>
  </si>
  <si>
    <t>38mm</t>
  </si>
  <si>
    <t>60cm</t>
  </si>
  <si>
    <t>{"barwa": "title", "dlugosc": "text_columns", "gwarancja": "text_columns", "ik": "text_columns", "ip": "title", "kat_swiecenia": "text_columns", "kolor": "text_columns", "ksztalt": "title", "material": "text_columns", "moc": "title", "model": "title", "napiecie": "text_columns", "producent": "producer_column", "seria": "title", "srednica": "title", "strumien": "title", "szerokosc": "text_columns", "wymiary": "text_columns", "wysokosc": "text_columns"}</t>
  </si>
  <si>
    <t>{"barwa": 0.98, "dlugosc": 0.88, "gwarancja": 0.88, "ik": 0.88, "ip": 0.98, "kat_swiecenia": 0.88, "kolor": 0.88, "ksztalt": 0.88, "material": 0.88, "moc": 0.98, "model": 0.6, "napiecie": 0.88, "producent": 0.99, "seria": 0.65, "srednica": 0.86, "strumien": 0.95, "szerokosc": 0.88, "wymiary": 0.88, "wysokosc": 0.88}</t>
  </si>
  <si>
    <t>Panel LED backlight okrągły BLO NT 34W 4400lm 4000K 60cm IP40 czarny Bemko C72-BLO-066-340-4K-BL</t>
  </si>
  <si>
    <t>https://bemko.pl/files/images/b9b/500___blo-066-340-4k-bl-1-bemko.jpg</t>
  </si>
  <si>
    <t>NO_MATCH</t>
  </si>
  <si>
    <t>Pręt uziomowy Elkonomic</t>
  </si>
  <si>
    <t>Pręt Elkonomic</t>
  </si>
  <si>
    <t>fi16mm</t>
  </si>
  <si>
    <t>1500mm</t>
  </si>
  <si>
    <t>stal</t>
  </si>
  <si>
    <t>{"dlugosc": "title", "material": "text_columns", "model": "title", "producent": "producer_column", "seria": "title"}</t>
  </si>
  <si>
    <t>{"dlugosc": 0.88, "material": 0.88, "model": 0.6, "producent": 0.99, "seria": 0.65}</t>
  </si>
  <si>
    <t>Pręt uziomowy Elkonomic z trzpieniem 1500mm fi16mm ELKO-BIS 94252102</t>
  </si>
  <si>
    <t>https://elkobis.com.pl/wp-content/uploads/2025/05/94252102.png</t>
  </si>
  <si>
    <t>Gazetka do uzupe?nienia.xlsx</t>
  </si>
  <si>
    <t>Uchwyt plastikowy z</t>
  </si>
  <si>
    <t>Uchwyt</t>
  </si>
  <si>
    <t>{"producent": "producer_column", "seria": "title"}</t>
  </si>
  <si>
    <t>{"producent": 0.99, "seria": 0.65}</t>
  </si>
  <si>
    <t>Uchwyt plastikowy z obciążnikiem do drutu odgromowego Ø8-10mm ELKO-BIS 93000411</t>
  </si>
  <si>
    <t>https://elkobis.com.pl/wp-content/uploads/2025/05/93000411.png</t>
  </si>
  <si>
    <t>Krzyżowe</t>
  </si>
  <si>
    <t>Złącze</t>
  </si>
  <si>
    <t>M10x35</t>
  </si>
  <si>
    <t>{"model": "title", "producent": "producer_column", "seria": "title"}</t>
  </si>
  <si>
    <t>{"model": 0.6, "producent": 0.99, "seria": 0.65}</t>
  </si>
  <si>
    <t>Złącze krzyżowe 1-otworowe M10x35 do drutu Ø8-10mm ELKO-BIS 95500201</t>
  </si>
  <si>
    <t>https://elkobis.com.pl/wp-content/uploads/2019/04/95500102.png</t>
  </si>
  <si>
    <t>Ogranicznik przepięć</t>
  </si>
  <si>
    <t>zielony</t>
  </si>
  <si>
    <t>ESPAC T12</t>
  </si>
  <si>
    <t>T12</t>
  </si>
  <si>
    <t>{"kolor": "text_columns", "model": "title", "producent": "producer_column", "seria": "title"}</t>
  </si>
  <si>
    <t>{"kolor": 0.88, "model": 0.6, "producent": 0.99, "seria": 0.65}</t>
  </si>
  <si>
    <t>Ogranicznik przepięć ESPAC V T12 4P 12,5/275 ELKO-BIS 10400120080</t>
  </si>
  <si>
    <t>https://static3.redcart.pl/templates/images/thumb/56111/1500/1500/pl/0/templates/images/products/56111/d36bfbce035f70e2d046885abfd77f5b.jpg</t>
  </si>
  <si>
    <t>Sposób montażu
Montaż powierzchniowy
Szerokość [mm]
310
Głębokość [mm]
110
Z płytą montażową
Nie
Możliwość rozbudowy
Tak
Szyna DIN
Tak
Materiał obudowy
Tworzywo sztuczne
Stopień ochrony (IP)
IP40
PKWiU
27.12.31.0
Kolor
Biały
Wysokość [mm]
676
Numer RAL
9003
Liczba rzędów
4
Z pokrywą transparentną
Nie
Rodzaj pokrywy
Zamknięte
Szerokość wyrażona liczbą modułów
12
Rodzaj drzwi
Tworzywo sztuczne</t>
  </si>
  <si>
    <t>ELEGANT RN 4x12</t>
  </si>
  <si>
    <t>ELEGANT BIAŁY</t>
  </si>
  <si>
    <t>4x12</t>
  </si>
  <si>
    <t>310mm</t>
  </si>
  <si>
    <t>110mm</t>
  </si>
  <si>
    <t>Tworzywo sztuczne</t>
  </si>
  <si>
    <t>{"ip": "title", "kolor": "text_columns", "material": "text_columns", "model": "title", "producent": "producer_column", "seria": "title", "szerokosc": "text_columns", "wysokosc": "text_columns"}</t>
  </si>
  <si>
    <t>{"ip": 0.98, "kolor": 0.88, "material": 0.88, "model": 0.6, "producent": 0.99, "seria": 0.65, "szerokosc": 0.88, "wysokosc": 0.88}</t>
  </si>
  <si>
    <t>Rozdzielnica natynkowa ELEGANT RN 4x12 PE+N IP40 biała EPN 2465-00</t>
  </si>
  <si>
    <t>https://elektrohurt24.pl/environment/cache/images/productGfx_89816_0_0/Rozdzielnica-ELEGANT-4x12-PE-N-natynkowa-bialy-2465-00.jpg</t>
  </si>
  <si>
    <t>Sposób montażu
Montaż powierzchniowy
Szerokość [mm]
310
Głębokość [mm]
110
Z płytą montażową
Tak
Z pokrywą transparentną
Nie
Rodzaj pokrywy
Zamknięte
Szerokość wyrażona liczbą modułów
14
Rodzaj drzwi
Tworzywo sztuczne
PKWiU
27.12.40.0
Kolor
Biały
Wysokość [mm]
676
Numer RAL
9003
Liczba rzędów
4
Szyna DIN
Tak
Materiał obudowy
Tworzywo sztuczne
Stopień ochrony (IP)
IP40</t>
  </si>
  <si>
    <t>ELEGANT</t>
  </si>
  <si>
    <t>ELEGANT TWIN</t>
  </si>
  <si>
    <t>2x12</t>
  </si>
  <si>
    <t>PKWiU</t>
  </si>
  <si>
    <t>Rozdzielnica natynkowa ELEGANT TWIN RN 2x12 PE+N + 2x12 multimedialna IP40 biała EPN 2465-50</t>
  </si>
  <si>
    <t>https://dlaelektrykow.pl/29719-large_default/rozdzielnica-nt-4x12-multimedialna-ip40-elegant-twin-22-biala-2465-50-epn.jpg</t>
  </si>
  <si>
    <t>Producent: ELEKTRO-PLAST OPATÓWEK
Kod Producenta: 39.999
Symbol: ELESIL
Kod EAN: 5905548286297        
Model: Środek uszczelniający
Materiał: Smar silikonowy
Opakowanie: Tubka
Pojemność: 100 ml
Masa netto: 110 g
Mocowany na stałe: tak
W płynie: tak</t>
  </si>
  <si>
    <t>ELESIL Silikon Elektro</t>
  </si>
  <si>
    <t>tak</t>
  </si>
  <si>
    <t>ELESIL GELEBOX</t>
  </si>
  <si>
    <t>20kV</t>
  </si>
  <si>
    <t>Smar silikonowy</t>
  </si>
  <si>
    <t>100ml</t>
  </si>
  <si>
    <t>{"material": "text_columns", "moc": "text_columns", "model": "title", "pojemnosc": "text_columns", "producent": "producer_column", "seria": "title"}</t>
  </si>
  <si>
    <t>{"material": 0.88, "moc": 0.88, "model": 0.6, "pojemnosc": 0.88, "producent": 0.99, "seria": 0.65}</t>
  </si>
  <si>
    <t>Silikon elektroizolacyjny ELESIL GELEBOX 20kV/mm 100ml EPO 39.999</t>
  </si>
  <si>
    <t>https://elektro-plast.pl/pub/Image/products/39.999_b.jpg</t>
  </si>
  <si>
    <t>Taśma Ostrzegawcza Samoprzylepna</t>
  </si>
  <si>
    <t>Taśma Ostrzegawcza</t>
  </si>
  <si>
    <t>5cm</t>
  </si>
  <si>
    <t>Taśma ostrzegawcza samoprzylepna TOS-5zz 5cm x 33m żółto-zielona EPO 18.90</t>
  </si>
  <si>
    <t>https://www.elektro-plast.pl/pub/Image/products/18.90.jpg</t>
  </si>
  <si>
    <t>Napięcie znamionowe [V]
250
Kolor
Szary
Z pokrywą uchylną
Tak
Prąd znamionowy [A]
16
Sposób montażu
Montaż natynkowy
Bezhalogenowe
Tak
Stopień ochrony (IP)
IP66</t>
  </si>
  <si>
    <t>Gniazdo</t>
  </si>
  <si>
    <t>IP66</t>
  </si>
  <si>
    <t>GHN</t>
  </si>
  <si>
    <t>{"ip": "title", "kolor": "text_columns", "napiecie": "text_columns", "prad": "text_columns", "producent": "producer_column", "seria": "title"}</t>
  </si>
  <si>
    <t>{"ip": 0.98, "kolor": 0.88, "napiecie": 0.88, "prad": 0.88, "producent": 0.99, "seria": 0.65}</t>
  </si>
  <si>
    <t>Gniazdo hermetyczne GHN 16A 250V IP66 szare EPO 55.66</t>
  </si>
  <si>
    <t>https://www.elektro-plast.pl/pub/Image/products/55.66_wtyczka.jpg</t>
  </si>
  <si>
    <t>{"producent": "producer_column"}</t>
  </si>
  <si>
    <t>{"producent": 0.99}</t>
  </si>
  <si>
    <t>Rura elektroinstalacyjna karbowana PVC EPS 04.1R</t>
  </si>
  <si>
    <t>BRAK ZDJĘĆ</t>
  </si>
  <si>
    <t>Bezhalogenowe:
nie
Do instalacji podziemnych:
tak
Do instalacji w betonie:
tak
Do ścian pustych:
tak
Do układania w ziemi:
tak
Instalacja maszyn i urządzeń:
tak
Instalacja zewnętrzna:
tak
Klasa odporności na ściskanie:
Średnie (Klasa 3)
Kolor:
Szary
Materiał:
Polichlorek winylu (PVC)
Montaż natynkowy:
tak
Montaż podtynkowy:
tak
Odporność udarowa:
Średnie (Klasa 3)
Odpowiednie do instalacji na drewnie:
tak
Odpowiednie do instalacji podpowierzchniowych (wylewka):
tak
Podatność na zginanie:
Sztywny
Powłoka wewnętrzna poślizgowa:
nie
Średnica wewnętrzna:
34 mm
Średnica zewnętrzna:
40 mm
With metre indication:
nie
Wykonanie trudnopalne:
tak
Z mufą:
nie
Z oznaczeniem kolejnego metra rury:
nie
Zakres temperatur pracy:
-25 ... 60 °C</t>
  </si>
  <si>
    <t>Bezhalogenowe nie Do</t>
  </si>
  <si>
    <t>PVC</t>
  </si>
  <si>
    <t>34mm</t>
  </si>
  <si>
    <t>Polichlorek winylu (PVC)</t>
  </si>
  <si>
    <t>do instalacji podziemnych tak Do</t>
  </si>
  <si>
    <t>{"kat_swiecenia": "title", "kolor": "text_columns", "material": "text_columns", "model": "title", "pasuje_do": "title", "producent": "producer_column", "seria": "title", "srednica": "text_columns"}</t>
  </si>
  <si>
    <t>{"kat_swiecenia": 0.98, "kolor": 0.88, "material": 0.88, "model": 0.6, "pasuje_do": 0.78, "producent": 0.99, "seria": 0.65, "srednica": 0.88}</t>
  </si>
  <si>
    <t>Rura elektroinstalacyjna sztywna PVC 40mm szara EPS 06.53</t>
  </si>
  <si>
    <t>https://sklep.enexon.pl/media/catalog/product/cache/9fd3b2ace8c9155ce68e85e921c870a7/p/i/pim-1202846.png</t>
  </si>
  <si>
    <t>Specyfikacja
Średnica nominalna
25
Rozmiar nominalny w calach
Inne
Średnica zewnętrzna
25
Średnica wewnętrzna
19
Materiał
Polichlorek winylu (PVC)
Wytrzymałość na ściskanie
750
Zakres temperatury pracy
-25, 60
Stopień ochrony (IP)
Inne
Ognioodporność zgodnie z UL94
HB
Odporność na promieniowanie UV
Tak
Olejoodporność
Tak
Kolor
Czarny
Materiał osłony
Bez osłony
Rozprzestrzeniające płomień
Tak
Podatność na zginanie
Elastyczny/giętki
Z rozcięciem wzdłużnym
Nie
Zamykane (dwuczęściowe)
Nie
Bezhalogenowe
Nie
Z pilotem
Nie
Powłoka wewnętrzna poślizgowa
Nie
Certyfikat DIN EN 61386-23
Nie
Certyfikat UR
Nie
Certyfikat CSA
Nie
Certyfikat LUL/british standard
Nie
Certyfikat Lloyd's Register TA
Nie
Certyfikat UTAC
Nie
Certyfikat NF F 16-101
Nie</t>
  </si>
  <si>
    <t>Inne</t>
  </si>
  <si>
    <t>25mm</t>
  </si>
  <si>
    <t>{"ip": "text_columns", "kolor": "text_columns", "material": "text_columns", "model": "title", "producent": "producer_column", "seria": "title", "srednica": "text_columns"}</t>
  </si>
  <si>
    <t>{"ip": 0.88, "kolor": 0.88, "material": 0.88, "model": 0.6, "producent": 0.99, "seria": 0.65, "srednica": 0.88}</t>
  </si>
  <si>
    <t>Rura karbowana giętka PVC UV 25/19mm 50m czarna EPS 05.174</t>
  </si>
  <si>
    <t>https://mateomarket.pl/img/products/21/27/71/1_max.jpg?v=1727252009</t>
  </si>
  <si>
    <t>EAN	3838895868972
Liczba biegunów	2
Numer katalogowy	002173814
Charakterystyka wyzwalania	B
Znamionowy prąd różnicowy	16A
Sposób wyzwalania	Bezzwłoczny
Napięcie znamionowe	240V
Producent	ETI Polam
Prąd znamionowy	16A
Stopień ochrony (IP)	IP20
Sposób montażu	Szyna DIN/TH
Jednocześnie rozłączany biegun N	NIE</t>
  </si>
  <si>
    <t>KZS-AFDD 3M2p A</t>
  </si>
  <si>
    <t>240V</t>
  </si>
  <si>
    <t>IP20</t>
  </si>
  <si>
    <t>KZS-AFDD B16</t>
  </si>
  <si>
    <t>3M2p</t>
  </si>
  <si>
    <t>16A</t>
  </si>
  <si>
    <t>{"czulosc": "text_columns", "ip": "text_columns", "liczba_biegunow": "text_columns", "model": "title", "napiecie": "text_columns", "prad": "text_columns", "producent": "producer_column", "seria": "title"}</t>
  </si>
  <si>
    <t>{"czulosc": 0.88, "ip": 0.88, "liczba_biegunow": 0.88, "model": 0.6, "napiecie": 0.88, "prad": 0.88, "producent": 0.99, "seria": 0.65}</t>
  </si>
  <si>
    <t>Wyłącznik różnicowoprądowy nadprądowy KZS-AFDD 3M2p A B16/0.03 16A 30mA IP20 ETI 002173814</t>
  </si>
  <si>
    <t>https://www.etipolam.com.pl/media/eti/images/product_db/idents/002173814/en-GB/photo/002173814_Photo.webp</t>
  </si>
  <si>
    <t>16-300mm2 | 470mm | 100kN | stal | hex
Dane techniczne:
Długość [mm]: 470
Dodatkowe informacje: maksymalna siła zacisku 100kN
Materiał: stal
Rodzaj konektora: hex
Typ końcówki: 16, 25, 35, 70, 95, 120, 150, 185, 240, 300 mm2
Zakres przewodów [mm2]: 16-300
waga: 3,55 kg
Kod producenta: HT1P169
Kod kreskowy: 5902801268786
WYSOKA JAKOŚĆ!
Zaciskarka ręczna z siłownikiem hydraulicznym przeznaczona do zaciskania końcówek na przewodach elektrycznych, może być również wykorzystywana do łączenia lin stalowych.
Praska hydrauliczna nadaje się do zaciskania końcówek miedzianych i aluminiowych. Dzięki wykorzystaniu siłownika hydraulicznego zaciskanie nawet grubych końcówek nie wymaga użycia dużej siły.
ZASTOSOWANIE
siła zaciskania 100 kN/10 ton
typ matryc – dzielone, sześciokątne
w zestawie 11 matryc
rozmiary szczęk 16, 25, 35, 50, 70, 95, 120, 150, 185, 240, 300 mm2
zakres zaciskania dla aluminium 16-240 mm2, dla miedzi 16-300 mm2
elementy robocze wykonane ze stali odkuwanej, rękojeść pokryta miękkim tworzywem
obrotowa głowica robocza umożliwia pracę pod różnymi kątami
zawór siłownika powoduje płynne rozwarcie szczęk
konstrukcja umożliwiająca sprawna wymianę głowic zaciskających
wysoka jakość użytych materiałów gwarantuję długą żywotność urządzenia
zapakowane w poręczną walizkę</t>
  </si>
  <si>
    <t>16-300mm2 470mm 100kN</t>
  </si>
  <si>
    <t>HT1P169 WYSOKA</t>
  </si>
  <si>
    <t>16-300mm2</t>
  </si>
  <si>
    <t>470mm</t>
  </si>
  <si>
    <t>do zaciskania końcówek na przewodach</t>
  </si>
  <si>
    <t>{"dlugosc": "title", "material": "text_columns", "model": "title", "pasuje_do": "title", "producent": "producer_column", "seria": "title"}</t>
  </si>
  <si>
    <t>{"dlugosc": 0.88, "material": 0.88, "model": 0.6, "pasuje_do": 0.78, "producent": 0.99, "seria": 0.65}</t>
  </si>
  <si>
    <t>Zaciskarka hydrauliczna ręczna 16-300mm2 100kN GTV HT1P169</t>
  </si>
  <si>
    <t>https://hoegert.com/wp-content/uploads/2021/09/HT1P169.751c1873.png</t>
  </si>
  <si>
    <t>Archi­tek­tura
Układ biegunów
3x 1P+N
Charak­terystyka wyzwalania
B
Liczba biegunów
4
Napięcie
Napięcie znamio­nowe łącze­niowe Ue (AC)
230 - 230 V
Typ napięcia zasilania
AC
Napięcie znamio­nowe izolacji Ui
500 V
Wartość wytrzyma­łości dielek­trycznej często­tliwości zasilania
2 kV
Znamio­nowe napięcie udarowe Uimp
4000 V
Często­tliwość
Często­tliwość
50 - 50 Hz
Prąd elek­tryczny
Prąd znamio­nowy
16 A
Prąd znamio­nowy wyłączalny zwar­ciowy roboczy Ics
6 kA
Prąd znamio­nowy w temperaturze -25°C
21,10 A
Prąd znamio­nowy przy -20°C.
20,70 A
Prąd znamio­nowy w temperaturze -15°C
20,30 A
Prąd znamio­nowy w temperaturze -10°C
19,90 A
Prąd znamio­nowy w temperaturze -5°C
19,40 A
Prąd znamio­nowy przy 0°C.
19 A
Prąd znamio­nowy w temperaturze 5°C
18,50 A
Prąd znamio­nowy w temperaturze 10°C
18 A
Prąd znamio­nowy w temperaturze 15°C
17,50 A
Prąd znamio­nowy przy 20°C.
17 A
Prąd znamio­nowy w temperaturze 25°C
16,50 A
Prąd znamio­nowy w temperaturze 30°C
16 A
Prąd znamio­nowy w temperaturze 35°C
15,70 A
Prąd znamio­nowy przy 40°C.
15,50 A
Prąd znamio­nowy przy 45°C.
15,20 A
Prąd znamio­nowy przy 50°C.
15 A
Prąd znamio­nowy w temperaturze 55°C
14,70 A
Prąd znamio­nowy w temperaturze 60°C
14,40 A
Prąd znamio­nowy w temperaturze 65°C
14,10 A
Prąd znamio­nowy w temperaturze 70°C
13,90 A
Znamio­nowy prąd różnicowy ldn
30 mA
Znam. zdol­ność wyłącz. zwar­cio­wego Icn poniżej 230 V AC zgodnie z IEC 60898-1
6 kA
Główne atrybuty elek­tryczne
Znamio­nowa zwar­ciowa zdol­ność wyłączania Icn zgodnie z IEC 60898-1
6 kA
Instalacja, montaż
Nomi­nalny moment dokręcania dla zacisku odpływowego
2 - 2 Nm
Nomi­nalny moment dokręcania
2 - 2 Nm
Bezpie­czeń­stwo
Typ wyłącz­nika różnicowoprądowego
A
Moc
Całko­wite straty mocy dla prądu znamio­nowego
10,90 W
Wytrzyma­łość
Wytrzyma­łość elek­tryczna (liczba cykli)
2000
Wytrzyma­łość mechaniczna (liczba cykli)
2000
Rodzaj połączenia
Prze­krój poprzeczny wejścia ze śrubami, dla prze­wodów elastycz­nych
1 - 4 mm²
Prze­krój poprzeczny wejścia ze śrubami, dla prze­wodów litych
1 - 4 mm²
Warunki użyt­ko­wania
Zakres temperatur pracy
-25 - 70 °C
Temperatura prze­chowywania­/tran­sportu
-25 - 80 °C
Stopień zanie­czysz­czenia zgodnie z IEC 60664/IEC 60947-2.
2
Klasa ogra­niczenia energii I²t
3
‌Pojem­ność
Liczba modułów
4
Wymiary
Wyso­kość
86 mm
Szero­kość
71 mm
Głębo­kość
70 mm
Łącz­ność
Typ połączenia
quick­con­nect</t>
  </si>
  <si>
    <t>RCBO Wyłącznik różnicowoprądowy</t>
  </si>
  <si>
    <t>Całko­wite straty mocy dla prądu znamio­nowego</t>
  </si>
  <si>
    <t>Napięcie znamio­nowe łącze­niowe Ue (AC)</t>
  </si>
  <si>
    <t>25°</t>
  </si>
  <si>
    <t>RCBO 16A</t>
  </si>
  <si>
    <t>3x1P</t>
  </si>
  <si>
    <t>{"kat_swiecenia": "text_columns", "liczba_biegunow": "text_columns", "moc": "text_columns", "model": "title", "napiecie": "text_columns", "producent": "producer_column", "seria": "title"}</t>
  </si>
  <si>
    <t>{"kat_swiecenia": 0.88, "liczba_biegunow": 0.88, "moc": 0.88, "model": 0.6, "napiecie": 0.88, "producent": 0.99, "seria": 0.65}</t>
  </si>
  <si>
    <t>Wyłącznik różnicowoprądowy nadprądowy RCBO 3x1P+N B16 30mA 6kA Typ A Hager ADZ316D</t>
  </si>
  <si>
    <t>https://assets.hager.com/step-content/P/HA_16179501/11/std.lang.all/ADZ316D.webp</t>
  </si>
  <si>
    <t>Kod producenta:	WL4800
EAN:	3250610013038
Gwarancja:	24 miesiące
Kolor:	Biały
Wykończenie powierzchni:	Błyszczące
Typ montażu:	Podtynkowy
Stopień ochrony:	IP-20 
Materiał:	Tworzywo sztuczne
Napięcie znamionowe:	16 A V
Prąd znamionowy 	250 V
Rodzaj podłączenia:	Zaciski śrubowe 
Przesłony torów prądowych 	Tak
Uziemienie:	Tak
Ramka w zestawie:	Nie
Ładowarka USB:	USB-C</t>
  </si>
  <si>
    <t>12W</t>
  </si>
  <si>
    <t>16 A V</t>
  </si>
  <si>
    <t>Lumina</t>
  </si>
  <si>
    <t>250 V</t>
  </si>
  <si>
    <t>{"ip": "text_columns", "kolor": "text_columns", "material": "text_columns", "moc": "title", "napiecie": "text_columns", "prad": "text_columns", "producent": "producer_column", "seria": "title"}</t>
  </si>
  <si>
    <t>{"ip": 0.88, "kolor": 0.88, "material": 0.88, "moc": 0.98, "napiecie": 0.88, "prad": 0.88, "producent": 0.99, "seria": 0.65}</t>
  </si>
  <si>
    <t>Gniazdo zasilające lumina z uziemieniem USB-C 2,4A 12W IP20 białe Hager WL4800</t>
  </si>
  <si>
    <t>https://sklep.ke.pl/media/catalog/product/cache/bdcaa8ae63cfcc699ffef090da23ed91/p/i/pim-4122892.png</t>
  </si>
  <si>
    <t>sób montażu
Szyna montażowa DIN 35 mm
Rozmiar
4 moduły
Maksymalne napięcie trwałej pracy AC [V]
275
Znamionowe napięcie AC [V]
415
Poziom ochrony L-N [kV]
1,35
Maksymalne napięcie instalacji fotowoltaicznej [V]
0
Zintegrowane dobezpieczenie
Nie
Maks. przekrój przewodu elastycznego [mm2]
35
Ze stykiem do zdalnej sygnalizacji
Nie
Poziom ochrony [kV]
1,35
Znamionowy prąd wyładowczy - wartość szczytowa (8/20) [kA]
20
Typ 2
Tak
Sygnalizacja zadziałania na urządzeniu
Optyczny
Poziom ochrony N-PE [kV]
1,5
Maks. przekrój przewodu (jedno-/wielodrutowego) [mm2]
50</t>
  </si>
  <si>
    <t>SPD TN-S</t>
  </si>
  <si>
    <t>20kA</t>
  </si>
  <si>
    <t>{"model": "title", "napiecie": "text_columns", "producent": "producer_column", "seria": "title"}</t>
  </si>
  <si>
    <t>{"model": 0.6, "napiecie": 0.88, "producent": 0.99, "seria": 0.65}</t>
  </si>
  <si>
    <t>Ogranicznik przepięć SPD T2 4P 4+0 TN-S In20kA Imax40kA Up1,35kV Hager SPE440S</t>
  </si>
  <si>
    <t>https://assets.hager.com/step-content/P/HA_78944785/11/std.lang.all/SPE440S.webp</t>
  </si>
  <si>
    <t>EAN13
5905339289971
Kolor
grafitowy
Materiał
stop aluminium,tworzywo sztuczne
Materiał klosza
PC
Waga i wymiary
Wysokość [mm]
150
Szerokość [mm]
150
Długość [mm]
150
Waga
832g
Jednostka sprzedaży
sztuka
Karton zbiorczy
8
Dane techniczne
Napięcie znamionowe [V]
3,7 DC 18650 ACCU
Pokaż mniej ▴
Kolor
grafitowy
Moc maksymalna [W]
max 6
Wymienne źródło światła
nie
Zintegrowane źródło światła LED
Strumień świetlny oprawy [lm]
max 600
Ilość cykli wł/wył
≥15000
Trwałość [h]
25000
Temperatura barwowa [K]
3000/4000/6500
Jednolitość barw [SDCM]
6
Współczynnik oddawania barw Ra
80
Rodzaj diody
LED SMD
Możliwość współpracy ze ściemniaczem
nie
Barwa światła
ciepłobiała,biała,chłodnobiała
Klasa ochronności przed porażeniem elektrycznym
III
Stopień IP
65
Zakres temperatury otoczenia, na którą może być narażony wyrób [°C]
-20+35
Miejsce montażu
do nadbudowania na ścianie
Regulacja kątowa oprawy oświetleniowej [°]
90
Zasięg czujnika [m]
max 3
Kąt działania czujnika [°]
120
Czas działania czujnika [sekunda-minuta]
25--
Rodzaj czujnika
mikrofalowy
Wykrywanie ruchu
tak
Nastawa poziomu natężenia oświetlenia, przy którym czujnik wykrywa ruch [lx]
20-30
Minimalna odległość od oświetlanego obiektu
0,2m
Skuteczność świetlna lampy [lm/W]
max 100
Akumulator (typ)
18650
Akumulator (parametry)
Li-Ion 3,7V 1800mAh</t>
  </si>
  <si>
    <t>REKA</t>
  </si>
  <si>
    <t>6W</t>
  </si>
  <si>
    <t>3,7 DC 18650 ACCU</t>
  </si>
  <si>
    <t>3000-4000K</t>
  </si>
  <si>
    <t>600lm</t>
  </si>
  <si>
    <t>100lm/W</t>
  </si>
  <si>
    <t>grafitowy</t>
  </si>
  <si>
    <t>REKA SOLAR15</t>
  </si>
  <si>
    <t>SOLAR15</t>
  </si>
  <si>
    <t>150x150mm</t>
  </si>
  <si>
    <t>150mm</t>
  </si>
  <si>
    <t>z czujnikiem mikrofalowym</t>
  </si>
  <si>
    <t>stop aluminium,tworzywo sztuczne</t>
  </si>
  <si>
    <t>{"barwa": "text_columns", "barwa_zakres": "text_columns", "czujnik": "text_columns", "dlugosc": "text_columns", "ip": "text_columns", "kolor": "text_columns", "lm_w": "text_columns", "material": "text_columns", "moc": "title", "model": "title", "napiecie": "text_columns", "pojemnosc": "text_columns", "producent": "producer_column", "seria": "title", "strumien": "text_columns", "szerokosc": "text_columns", "wymiary": "text_columns", "wysokosc": "text_columns"}</t>
  </si>
  <si>
    <t>{"barwa": 0.88, "barwa_zakres": 0.88, "czujnik": 0.88, "dlugosc": 0.88, "ip": 0.88, "kolor": 0.88, "lm_w": 0.88, "material": 0.88, "moc": 0.98, "model": 0.6, "napiecie": 0.88, "pojemnosc": 0.88, "producent": 0.99, "seria": 0.65, "strumien": 0.88, "szerokosc": 0.88, "wymiary": 0.88, "wysokosc": 0.88}</t>
  </si>
  <si>
    <t>Oprawa elewacyjna solarna LED REKA 6W 600lm 3000-6500K IP65 z czujnikiem mikrofalowym grafitowa Kanlux 28997</t>
  </si>
  <si>
    <t>https://www.kanlux.com/storage/products/main/mid/28997.jpg</t>
  </si>
  <si>
    <t>EAN13
5905339902955
Kolor
biały
Materiał
ABS,PE
Materiał obudowy
ABS
Materiał klosza
PE
Waga i wymiary
Wysokość [mm]
190
Szerokość [mm]
200
Średnica [mm]
200
Długość [mm]
200
Waga
736g
Jednostka sprzedaży
sztuka
Karton zbiorczy
4
Dane techniczne
Napięcie znamionowe [V]
220-240 AC
Częstotliwość znamionowa [Hz]
50
Pokaż mniej ▴
Kolor
biały
Moc maksymalna [W]
max 15
Źródło światła w komplecie
nie
Źródło światła
LED
Wymienne źródło światła
tak
Trzonek
E27
Klasa ochronności przed porażeniem elektrycznym
II
Stopień IP
65
Zakres temperatury otoczenia, na którą może być narażony wyrób [°C]
-20÷35
Miejsce montażu
dogruntowa
Rodzaj przyłącza
przewód zakończony wtyczką
Rodzaj przewodu
H05RN-F
Długość przewodu [m]
3
Przekrój przewodu [mm2]
1
Minimalna odległość od oświetlanego obiektu
0,2m</t>
  </si>
  <si>
    <t>Lampa ogrodowa</t>
  </si>
  <si>
    <t>max 15W</t>
  </si>
  <si>
    <t>220-240 AC</t>
  </si>
  <si>
    <t>STONO MLK</t>
  </si>
  <si>
    <t>200x200mm</t>
  </si>
  <si>
    <t>200mm</t>
  </si>
  <si>
    <t>190mm</t>
  </si>
  <si>
    <t>E27</t>
  </si>
  <si>
    <t>ABS,PE</t>
  </si>
  <si>
    <t>3m</t>
  </si>
  <si>
    <t>{"dlugosc": "text_columns", "dlugosc_przewodu": "text_columns", "gwint": "text_columns", "ip": "text_columns", "kolor": "text_columns", "material": "text_columns", "moc": "text_columns", "napiecie": "text_columns", "producent": "producer_column", "seria": "title", "srednica": "text_columns", "szerokosc": "text_columns", "wymiary": "text_columns", "wysokosc": "text_columns"}</t>
  </si>
  <si>
    <t>{"dlugosc": 0.88, "dlugosc_przewodu": 0.88, "gwint": 0.88, "ip": 0.88, "kolor": 0.88, "material": 0.88, "moc": 0.88, "napiecie": 0.88, "producent": 0.99, "seria": 0.65, "srednica": 0.88, "szerokosc": 0.88, "wymiary": 0.88, "wysokosc": 0.88}</t>
  </si>
  <si>
    <t>Lampa ogrodowa kula STONO E27 200mm IP65 biała Kanlux 45930</t>
  </si>
  <si>
    <t>https://www.kanlux.com/storage/products/add/mid/45930_4.jpg</t>
  </si>
  <si>
    <t>Gwarancja [lat]
3
EAN13
5905339397409
Kolor
biały
Materiał obudowy
tworzywo sztuczne
Materiał klosza
tworzywo sztuczne
Waga i wymiary
Wysokość [mm]
50
Średnica [mm]
240
Waga
218g
Jednostka sprzedaży
sztuka
Karton zbiorczy
12
Dodatkowe funkcje
3 lat Gwarancji na warunkach oświadczenia gwarancyjnego, dostępnego na stronie internetowej
Dane techniczne
Napięcie znamionowe [V]
220-240 AC
Częstotliwość znamionowa [Hz]
50
Pokaż mniej ▴
Kolor
biały
Moc maksymalna [W]
10
Zintegrowane źródło światła LED
Strumień świetlny oprawy [lm]
880
Kąt świecenia [°]
120
Ilość cykli wł/wył
≥10000
Trwałość [h]
20000
Współczynnik zachowania strumienia świetlnego na zakończenie nominalnego okresu trwałości
L70B50
Temperatura barwowa [K]
4000
Jednolitość barw [SDCM]
≤6
Współczynnik oddawania barw Ra
80
Zawartość rtęci
nie
Rodzaj diody
LED SMD
Możliwość współpracy ze ściemniaczem
nie
Barwa światła
biała
Klasa ochronności przed porażeniem elektrycznym
II
Stopień IP
44
Zakres temperatury otoczenia, na którą może być narażony wyrób [°C]
-20÷35
Miejsce montażu
do nadbudowania na suficie,do nadbudowania na ścianie
Rodzaj przyłącza
kostka samozaciskowa
Zakres przekrojów stosowanych przewodów [mm2]
0,75÷1,5
Minimalna odległość od oświetlanego obiektu
0,5m
Skuteczność świetlna lampy [lm/W]
88
Liczba modułów
1
Użyteczny strumień świetlny źródła światła Φuse [lm]
1200
Kształt
okrągły</t>
  </si>
  <si>
    <t>ENELO</t>
  </si>
  <si>
    <t>10W</t>
  </si>
  <si>
    <t>880lm</t>
  </si>
  <si>
    <t>88lm/W</t>
  </si>
  <si>
    <t>IP44</t>
  </si>
  <si>
    <t>50mm</t>
  </si>
  <si>
    <t>240mm</t>
  </si>
  <si>
    <t>tworzywo sztuczne</t>
  </si>
  <si>
    <t>{"barwa": "text_columns", "gwarancja": "text_columns", "ip": "text_columns", "kat_swiecenia": "text_columns", "kolor": "text_columns", "lm_w": "text_columns", "material": "text_columns", "moc": "title", "napiecie": "text_columns", "producent": "producer_column", "seria": "title", "srednica": "text_columns", "strumien": "text_columns", "wysokosc": "text_columns"}</t>
  </si>
  <si>
    <t>{"barwa": 0.88, "gwarancja": 0.88, "ip": 0.88, "kat_swiecenia": 0.88, "kolor": 0.88, "lm_w": 0.88, "material": 0.88, "moc": 0.98, "napiecie": 0.88, "producent": 0.99, "seria": 0.65, "srednica": 0.88, "strumien": 0.88, "wysokosc": 0.88}</t>
  </si>
  <si>
    <t>Plafoniera LED ENELO 10W 880lm 4000K IP44 biała Kanlux 39740</t>
  </si>
  <si>
    <t>https://www.kanlux.com/storage/products/main/mid/39740.jpg</t>
  </si>
  <si>
    <t>SKU	ST057770
Producent/Marka	Steinel
EAN	4007841057770
Zalecana wysokość montażu	2,8
Moc [W]	2 000
Rodzaj czujnika	obecności i zmierzchu
Interface	on/off
Obszar wykrywania	452
Zasięg wykrywania [m]	24
Zasięg promieniowy	0
Zasięg styczny	0
Kąt wykrywania °	360
Kąt rozwarcia °	90
Technika sensorowa	PIR
Stopień ochrony (IP)	IP54
Ustawienie czasu	5 sek. - 15 min.
Czułość progowa jasności	2 - 1000
Kolor	biały RAL9010
Zastosowanie	wewnętrzne, zewnętrzne
Montaż	natynkowy
W zestawie	przesłony ograniczające zasięg
Zasilanie	sieciowe
Napięcie zasilania [V]	230
Gwarancja	5 lat
Średnica [mm]	121
Długość [mm]	121
Szerokość [mm]	121
Wysokość [mm]	57
Waga z opakowaniem [kg]	0,28</t>
  </si>
  <si>
    <t>Czujnik obecności i</t>
  </si>
  <si>
    <t>2000W</t>
  </si>
  <si>
    <t>IP54</t>
  </si>
  <si>
    <t>Steinel</t>
  </si>
  <si>
    <t>2360-3</t>
  </si>
  <si>
    <t>121x121mm</t>
  </si>
  <si>
    <t>121mm</t>
  </si>
  <si>
    <t>2.8mm</t>
  </si>
  <si>
    <t>z czujnikiem ruchu</t>
  </si>
  <si>
    <t>ECO</t>
  </si>
  <si>
    <t>{"czujnik": "row", "dlugosc": "text_columns", "eco": "title", "gwarancja": "text_columns", "ip": "text_columns", "kolor": "text_columns", "moc": "title", "model": "title", "napiecie": "text_columns", "producent": "producer_column", "srednica": "text_columns", "szerokosc": "text_columns", "wymiary": "text_columns", "wysokosc": "text_columns"}</t>
  </si>
  <si>
    <t>{"czujnik": 0.88, "dlugosc": 0.88, "eco": 0.9, "gwarancja": 0.88, "ip": 0.88, "kolor": 0.88, "moc": 0.98, "model": 0.6, "napiecie": 0.88, "producent": 0.99, "srednica": 0.88, "szerokosc": 0.88, "wymiary": 0.88, "wysokosc": 0.88}</t>
  </si>
  <si>
    <t>Czujnik obecności i ruchu Steinel IS 2360-3 ECO 2000W biały ST057770</t>
  </si>
  <si>
    <t>https://langelukaszuk.pl/media/catalog/product/cache/74c1057f7991b4edb2bc7bdaa94de933/6/4/64467_1_5.jpeg</t>
  </si>
  <si>
    <t xml:space="preserve">
SKU	ST081706
Producent/Marka	Steinel
EAN	4007841081706
Zalecana wysokość montażu	2,8
Moc [W]	2 000
Rodzaj czujnika	obecności i zmierzchu
Interface	on/off
Obszar wykrywania	452
Zasięg wykrywania [m]	24
Zasięg promieniowy	0
Zasięg styczny	0
Kąt wykrywania °	360
Kąt rozwarcia °	90
Technika sensorowa	PIR
Stopień ochrony (IP)	IP54
Ustawienie czasu	5 sek. - 15 min.
Czułość progowa jasności	2 - 1000
Kolor	czarny RAL9005
Zastosowanie	wewnętrzne, zewnętrzne
Montaż	natynkowy
W zestawie	przesłony redukujące zasięg
Zasilanie	sieciowe
Napięcie zasilania [V]	230
Gwarancja	5 lat
Średnica [mm]	121
Długość [mm]	121
Szerokość [mm]	121
Wysokość [mm]	57
Waga z opakowaniem [kg]	0,26</t>
  </si>
  <si>
    <t>Czujnik obecności i ruchu Steinel IS 2360-3 ECO 2000W czarny ST081706</t>
  </si>
  <si>
    <t>https://langelukaszuk.pl/media/catalog/product/cache/74c1057f7991b4edb2bc7bdaa94de933/7/4/74081_1_4.jpeg</t>
  </si>
  <si>
    <t>Pierwszy kompaktowy zestaw wkrętaków Felo dla elektryków w wersji SLIM
- 10 wymiennych kling oraz próbnik napięcia w etui
- Każda klinga indywidualnie testowana przy napięciach do 10 000V zgodnie z normą DIN EN 60900
- Precyzyjnie wykonana obrotowa końcówka oraz gumowana okładzina na klindze w wariancie do zastosowań wszędzie tam, gdzie potrzebna jest precyzja
W zestawie:
Wkrętak płaski 2,5 x 0,4
Wkrętak płaski 3,0 x 0,5
Wkrętak płaski 4,0 x 0,8
Wkrętak płaski 5,5 x 1,0
Wkrętak krzyżowy PH 1
Wkrętak krzyżowy PH 2
Wkrętak krzyżowy Z 1
Wkrętak krzyżowy Z 2
Wkrętak krzyżowy H 2
Próbnik napięcia 120 - 250V</t>
  </si>
  <si>
    <t>Zestaw elektryczny XL-Strongbox</t>
  </si>
  <si>
    <t>000V</t>
  </si>
  <si>
    <t>FELO</t>
  </si>
  <si>
    <t>E-SMART SLIM</t>
  </si>
  <si>
    <t>{"napiecie": "text_columns", "producent": "producer_column", "seria": "title"}</t>
  </si>
  <si>
    <t>{"napiecie": 0.88, "producent": 0.99, "seria": 0.65}</t>
  </si>
  <si>
    <t>Zestaw wkrętaków elektrycznych FELO E-SMART SLIM 12 cz. VDE FL06381216</t>
  </si>
  <si>
    <t>https://elektrovip.pl/hpeciai/bc6a8c1d3bbe084c59665ca0f81107b3/pol_pl_FELO-Zestaw-elektryczny-XL-Strongbox-E-SMART-SLIM-12-cz-FL06381216-89602_1.jpg</t>
  </si>
  <si>
    <t>Zestaw szczypiec VDE: kombinerki 180 mm + obcinaczki boczne 160 mm oraz nieizolowany nożyk do zdejmowania izolacji
Profesjonalne kombinerki 180 mm, obcinaczki boczne 160 mm oraz nożyk do zdejmowania izolacji z kabli okrągłych 8-28 mm firmy FELO przeznaczone dla wymagających użytkowników w przemyśle, warsztacie itp. Kombinerki oraz obcinaczki boczne z izolacją do 1000V.
do różnorodnych prac, przytrzymywania, kształtowania, odkręcania i cięcia
kombinerki z dodatkową możliwością odkręcania śrub M8 - M10
niezrównana precyzja, najlepsza stal
kombinerki oraz obcinaczki boczne posiadają rękojeść trójskładnikową dla zapewnienia skutecznego, mocnego a jednocześnie komfortowego chwytu
kombinerki i obcinaczki boczne sprawdzone wg. normy DIN EN 60900
Ergonomiczna rękojeść wykonana z 3 komponentów o 3 różnych twardościach pozwala na długotrwałą pracę bez odczucia zmęczenia, optymalne przeniesienie siły oraz pewność chwytu. Odporna na uszkodzenia w razie przypadkowego upuszczenia na ziemię. Głowica wykonana ze stali narzędziowej o najwyższych parametrach (stal chromowo-wanadowa) ze specjalnym zabezpieczeniem antykorozyjnym. Precyzyjnie wykonana, umożliwiająca pracę wielu cykli bez widocznych oznak zużycia. Posiada charakterystyczne, opatentowane ząbkowania dla optymalnego chwytu.</t>
  </si>
  <si>
    <t>Zestaw 2 szczypiec</t>
  </si>
  <si>
    <t>kombinerki i obcinaczki boczne sprawdzone wg. normy DIN EN 60900</t>
  </si>
  <si>
    <t>1000V</t>
  </si>
  <si>
    <t>VDE</t>
  </si>
  <si>
    <t>180mm</t>
  </si>
  <si>
    <t>{"dlugosc": "title", "material": "text_columns", "moc": "text_columns", "napiecie": "text_columns", "producent": "producer_column", "seria": "title"}</t>
  </si>
  <si>
    <t>{"dlugosc": 0.88, "material": 0.88, "moc": 0.88, "napiecie": 0.88, "producent": 0.99, "seria": 0.65}</t>
  </si>
  <si>
    <t>Zestaw szczypiec VDE FELO kombinerki 180mm obcinaczki boczne 160mm FL58095095</t>
  </si>
  <si>
    <t>https://langelukaszuk.pl/media/catalog/product/cache/74c1057f7991b4edb2bc7bdaa94de933/8/7/87196_1_1.jpeg</t>
  </si>
  <si>
    <t>Zestaw 2 wkrętaków „PlusMinus” Z1 / Z2  FELO Seria 400 VDE ERGONIC®
Okryj niezawodność i komfort w pracy - poznaj najwyższej jakości zestaw wkrętaków „PlusMinus” Seria 400 VDE ERGONIC®. To doskonała propozycja zarówno dla profesjonalistów, jak i entuzjastów majsterkowania. Seria VDE umożliwia bezpieczną pracę pod napięciem przy instalacjach elektrycznych (izolowane do pracy pod napięciem do 1000 V).
W skład zestawu wchodzą:
wkrętak krzyżowy „PlusMinus” Z 1 x 80
wkrętak krzyżowy „PlusMinus” Z 2 x 100
NAJWAŻNIEJSZE CECHY:
Seria 400 ERGONIC® VDE
VDE / izolowane do pracy pod napięciem do 1000 V
Innowacyjna rękojeść ERGONIC, dostosowująca się do dłoni użytkownika, zapewnia łatwiejszą, bardziej komfortową i szybszą pracę
Moment obrotowy przekracza normy DIN oraz ISO do 100%
Idealnie gładka, pozbawiona szwów końcówka uchwytu zapewnia maksymalny komfort pracy
Osiągnięte doskonałe zespolenie rękojeści wkrętaka oraz dłoni skutkuje mniejszym wysiłkiem wkładanym w pracę
Otwór poprzeczny do wieszania lub zakładania dźwigni
Asymetryczny kształt kołnierza rękojeści uniemożliwia niekontrolowane toczenie się narzędzia
Klingi wykonane ze stali chromowo-molibdenowo-wanadowej
Wewnątrz rękojeści, przez całą jej długość biegnie rdzeń z wysoko udarnego tworzywa sztucznego
Niezwykle precyzyjnie wykonana końcówka zabarwiona na czarno
Na zakończeniu rączki umieszczony jest wyraźny symbol końcówki wkrętaka, co znacznie ułatwia pracę
GS- certyfikowane bezpieczeństwo
15 lat gwarancji na wady materiałowe
Każdy element zestawu FELO Seria 400 ERGONIC® został zaprojektowany z myślą o Twojej wygodzie i efektywności.
Dzięki stalowym klingom wykonanym ze stali chromowo-molibdenowo-wanadowej oraz precyzyjnym końcówkom zabarwionym na czarno, wkrętki charakteryzują się niebywałą trwałością i dokładnością, czego najlepszym potwierdzeniem jest 15 lat gwarancji na wady materiałowe.
Wkrętaki wyróżniają się innowacyjną rękojeścią – ERGONIC. Felo jako pierwsza firma na świecie przedstawiła rękojeść wkrętaka samo dopasowującą się do dłoni użytkownika – ERGONIC. Praca wkrętakiem ERGONIC, w zestawieniu z najbardziej znanymi, renomowanymi markami, jest nieporównywalnie łatwiejsza, bardziej komfortowa – a co za tym idzie – szybsza.
Dodatkowo rękojeści ERGONIC wyposażone są w poprzeczny otwór mogący służyć jako zawieszka lub też można go wykorzystać do włożenia dźwigni ułatwiającej przykręcanie/odkręcenie śruby.
Idealnie gładka, pozbawiona szwów końcówka uchwytu zapewnia maksymalny komfort pracy, z kolei asymetryczny kształt kołnierza rękojeści uniemożliwia niekontrolowane toczenie się narzędzia – od teraz wkrętak zawsze pozostanie tam, gdzie go odłożysz i nie będzie się „toczył” w niepożądanym kierunku! Z pewnością docenisz to podczas pracy!
Bardzo istotne jest również to, że wkrętaki FELO zdolne są przenosić najwyższe momenty obrotowe, a tym samym spełnić wysokie wymagania wszystkich norm technicznych. Osiągnięte doskonałe zespolenie rękojeści wkrętaka oraz dłoni skutkuje mniejszym wysiłkiem wkładanym w pracę. Na zakończeniu każdej rączki umieszczony jest wyraźny symbol końcówki wkrętaka, co znacznie ułatwia identyfikację narzędzia. Już nie musisz wyciągać wkrętaków po kolei – to na pewno zaoszczędzi Twój czas!  
Seria 400 VDE ERGONIC umożliwia bezpieczną pracę pod napięciem przy instalacjach elektrycznych (izolowane do pracy pod napięciem do 1000 V).
Firma Felo jest niemieckim przedsiębiorstwem, którego tradycje sięgają roku 1887. Na przestrzeni blisko 140 lat swojej działalności zasłynęła z wielu innowacyjnych projektów oraz patentów technicznych, m.in. dwuskładnikowej rękojeści, nowoczesnego szafirowo-diamentowego bita czy systemu Smart. Obecnie zajmuje pozycję wiodącego na świecie producenta najwyższej jakości wkrętaków oraz bitów.</t>
  </si>
  <si>
    <t>Zestaw dwóch wkrętaków</t>
  </si>
  <si>
    <t>W skład zestawu wchodzą:</t>
  </si>
  <si>
    <t>Niezwykle precyzyjnie wykonana końcówka zabarwiona na czarno</t>
  </si>
  <si>
    <t>15 lat</t>
  </si>
  <si>
    <t>Każdy element zestawu FELO Seria 400 ERGONIC® został zaprojektowany z myślą o Twojej wygodzie i efektywności.</t>
  </si>
  <si>
    <t>{"dlugosc": "text_columns", "gwarancja": "text_columns", "material": "text_columns", "napiecie": "text_columns", "producent": "producer_column", "seria": "title"}</t>
  </si>
  <si>
    <t>{"dlugosc": 0.88, "gwarancja": 0.88, "material": 0.88, "napiecie": 0.88, "producent": 0.99, "seria": 0.65}</t>
  </si>
  <si>
    <t>Zestaw wkrętaków FELO Ergonic VDE PlusMinus Z1/Z2 FL41792191</t>
  </si>
  <si>
    <t>https://elektrovip.pl/hpeciai/5feeca37300e39bb48c16deb9a8d07ab/pol_pl_FELO-Zestaw-dwoch-wkretakow-Ergonic-VDE-plus-minus-Z1-Z2-FL41792191-87630_2.jpg</t>
  </si>
  <si>
    <t>Nazwa Producenta
SMART+ Wifi Table Frame MAX Powerbank USB RGB + W Black
EAN
4058075763241
Kod produktu
4058075763241
Barwa
3000K + RGB
Barwa światła
3000 K (ciepła)
Certyfikaty
CE, UKCA
Gwarancja
2 lata
Kąt świecenia
270°
Kolor
Czarny
Materiał
Aluminium
Materiał klosza
Polycarbonate (PC)
Moc
5 W
Napięcie Wej.
5 V
Prąd Wyj.
1000 mA
Skuteczność świetlna
54 lm/W
Stopień szczelności
IP44
Strumień świetlny
270 lm
Ściemnianie DIM
Tak
Temperatura pracy
-20…40 °C
Trzonek
LED
Waga
950 g
Źródło światła w komplecie
Tak
Źródło światła wymienne
Nie
Szerokość
14 cm
Wysokość
26.3 cm
Długość
14 cm</t>
  </si>
  <si>
    <t>5W</t>
  </si>
  <si>
    <t>5 V</t>
  </si>
  <si>
    <t>3000K</t>
  </si>
  <si>
    <t>270lm</t>
  </si>
  <si>
    <t>54lm/W</t>
  </si>
  <si>
    <t>270°</t>
  </si>
  <si>
    <t>RGBW USB</t>
  </si>
  <si>
    <t>14x14cm</t>
  </si>
  <si>
    <t>14cm</t>
  </si>
  <si>
    <t>26.3cm</t>
  </si>
  <si>
    <t>2 lat</t>
  </si>
  <si>
    <t>Aluminium</t>
  </si>
  <si>
    <t>{"barwa": "text_columns", "dlugosc": "text_columns", "gwarancja": "text_columns", "ip": "text_columns", "kat_swiecenia": "text_columns", "kolor": "text_columns", "lm_w": "text_columns", "material": "text_columns", "moc": "text_columns", "napiecie": "text_columns", "producent": "producer_column", "seria": "title", "strumien": "text_columns", "szerokosc": "text_columns", "wymiary": "text_columns", "wysokosc": "text_columns"}</t>
  </si>
  <si>
    <t>{"barwa": 0.88, "dlugosc": 0.88, "gwarancja": 0.88, "ip": 0.88, "kat_swiecenia": 0.88, "kolor": 0.88, "lm_w": 0.88, "material": 0.88, "moc": 0.88, "napiecie": 0.88, "producent": 0.99, "seria": 0.65, "strumien": 0.88, "szerokosc": 0.88, "wymiary": 0.88, "wysokosc": 0.88}</t>
  </si>
  <si>
    <t>Lampa ogrodowa LED Smart+ WiFi RGBW USB 5W 270lm 3000K IP44 czarna Ledvance 4058075763241</t>
  </si>
  <si>
    <t>https://eshop.ledvance.pl/cdn/shop/products/lampa-stolowa-wifi-5w-inteligentna-smart-table-frame-maxi-multicolor-usb-rgb-barwa-ciepla-4058075763241-inteligentna-lampa-stolowa-293433.jpg?v=1695853359</t>
  </si>
  <si>
    <t>Informacje dodatkowe
Napięcie
220…240 V
Okres gwarancji
3 lata
Średni czas użytkowania
30000 h
Kąt wiązki światła
110 °
Temperatura chromatyczności
4000 K
Stopień ochrony
IK06
Długość
108,00 mm
Materiał
Aluminum
Barwa światła
Chłodne Światło
Całkowity strumień świetlny
1800 lm
Kolorowy wyświetlacz Indeks
&gt; 80
Żarówka w zestawie
Tak
Możliwość ściemniania?
Nie
Liczba cykli przełączania
15000
Stopień ochrony
IP44
Klasa ochrony
I
Klasa energetyczna
F
Źródło energii
Prąd przemienny (AC)</t>
  </si>
  <si>
    <t>Naświetlacz LED</t>
  </si>
  <si>
    <t>20W</t>
  </si>
  <si>
    <t>1800lm</t>
  </si>
  <si>
    <t>IK06</t>
  </si>
  <si>
    <t>110°</t>
  </si>
  <si>
    <t>Naświetlacz Endura</t>
  </si>
  <si>
    <t>108.00mm</t>
  </si>
  <si>
    <t>Aluminum</t>
  </si>
  <si>
    <t>{"barwa": "text_columns", "dlugosc": "text_columns", "gwarancja": "text_columns", "ik": "text_columns", "ip": "text_columns", "kat_swiecenia": "text_columns", "material": "text_columns", "moc": "title", "napiecie": "text_columns", "producent": "producer_column", "seria": "title", "strumien": "text_columns"}</t>
  </si>
  <si>
    <t>{"barwa": 0.88, "dlugosc": 0.88, "gwarancja": 0.88, "ik": 0.88, "ip": 0.88, "kat_swiecenia": 0.88, "material": 0.88, "moc": 0.98, "napiecie": 0.88, "producent": 0.99, "seria": 0.65, "strumien": 0.88}</t>
  </si>
  <si>
    <t>Naświetlacz LED Endura 20W 1800lm 4000K IP44 Ledvance 4099854487026</t>
  </si>
  <si>
    <t>https://eshop.ledvance.pl/cdn/shop/files/osram-endura-flood-sensor-50w-ciepla-biel-pcr-4099854487026-naswietlacze-3516545.jpg?v=1759905455</t>
  </si>
  <si>
    <t>Numer artykułu	250535
EAN	4099854236792
Producent	Ledvance
Nazwa producenta	LED CLASSIC A MOTION &amp; DAYLIGHT SENSOR 7.3W 827 Clear E27
i
Ilość w opakowaniu zbiorczym	10
i
Gwarancja	5 lat
i
Klasa efektywności energetycznej	E
i
Żywotność (h)	15000
Informacje techniczne
i
Technologia	LED
Rodzaj produktu	E27 LED
i
Zamienne (W)	60
i
Napięcie lampy (V)	220-240
i
Moc (W)	7.3W
i
Ściemnianie	Nie
i
Trzonek	E27
i
Kod Koloru	827 Ekstra Ciepły Biały
i
Kolor światła	2700 Ekstra Ciepły Biały
i
Oddawanie barw (Ra)	80-89 - Dobre odwzorowanie kolorów
i
Jasny Kolor	Biały
i
Ustawienie Koloru	Pojedynczy kolor
i
Strumień świetlny (Lumen)	806lm
i
Skuteczność świetlna (Lm/W)	110
i
Power factor	&gt;0.50
i
Typ sensora	Czujnik ruchu, Czujnik światła
Informacje o żarówce
Wykończenie lampy	Przejrzysty
LED Włókno	Tak
Seria	Classic
Wymiary
Wysokość (mm)	116
Średnica (mm)	60
i
Kształt	Gruszka
i
Dokładny kształt	A60</t>
  </si>
  <si>
    <t>Lampa</t>
  </si>
  <si>
    <t>7.3W</t>
  </si>
  <si>
    <t>220-240</t>
  </si>
  <si>
    <t>2700K</t>
  </si>
  <si>
    <t>806lm</t>
  </si>
  <si>
    <t>110lm/W</t>
  </si>
  <si>
    <t>Pojedynczy kolor</t>
  </si>
  <si>
    <t>116mm</t>
  </si>
  <si>
    <t>60mm</t>
  </si>
  <si>
    <t>{"barwa": "text_columns", "czujnik": "text_columns", "gwarancja": "text_columns", "gwint": "text_columns", "kolor": "text_columns", "lm_w": "text_columns", "moc": "text_columns", "napiecie": "text_columns", "producent": "producer_column", "srednica": "text_columns", "strumien": "text_columns", "wysokosc": "text_columns"}</t>
  </si>
  <si>
    <t>{"barwa": 0.88, "czujnik": 0.88, "gwarancja": 0.88, "gwint": 0.88, "kolor": 0.88, "lm_w": 0.88, "moc": 0.88, "napiecie": 0.88, "producent": 0.99, "srednica": 0.88, "strumien": 0.88, "wysokosc": 0.88}</t>
  </si>
  <si>
    <t>Żarówka LED filament E27 z czujnikiem ruchu 7.3W 806lm 2700K Ledvance 4099854236792</t>
  </si>
  <si>
    <t>https://www.nowazarowka.pl/media/catalog/product/cache/f453bc283c6058583b1e906c85646203/4/0/4099854236792_LPI_1_526_1.jpg</t>
  </si>
  <si>
    <t>DANE ELEKTRYCZNE
Moc nominalna	31 W / 18 W
Napięcie znamionowe	220…240 V
Częstotliwość sieciowa	0/50/60 Hz
Prąd znamionowy	135,000 mA
Początkowy prąd rozruchowy	12,5 A
Prąd rozruchowy, czas T	215 µs
Maks. liczba opraw w jednym obwodz B16 A	27
Maks. liczba opraw w jednym obwodz C10 A	24
Maks. liczba opraw na wyłącznik nadprądowy C16	38
Współczynnik mocy λ	&gt; 0,90
Całkowite zniekształcenie harmoniczne	&lt; 15 %
Klasa ochronności	I
Odporność na napięcie udarowe (L-N)	1 kV
Tryb pracy	Integrated LED driver
Dane fotometryczne
Strumień świetlny	4960 lm / 4700 lm / 2880 lm / 2800 lm
Skuteczność świetlna	160 lm/W / 150 lm/W
Temperatura barwowa	4000 K / 5000 K / 6500 K
Referencyjne ustawienie kontroli źródła światła (Kelwiny)	4000 K
Barwa światła (oznaczenie)	Chłodnobiałe; dzienna; Cool Daylight
Ogólny wskaźnik oddawania barw Ra	&gt; 80
Standardowe odchylenie dopasowania barw	≤5 sdcm
Brak tętnienia	Tak
Wartość wskaźnika migotania Pst LM	&lt; 1
Wartość efektu stroboskopowego SVM	&lt; 0.4
Grupa zagrożenia fotobiologiczne EN62778	RG0
Kąt rozsyłu światła	115 °
Atrybuty regulowane
Moc znamionowa	Temperatura barwowa	Strumień świetlny	Skuteczność świetlna
31 W	4000 K	4700 lm	152 lm/W
31 W	5000 K	4960 lm	160 lm/W
31 W	6500 K	4700 lm	152 lm/W
18 W	4000 K	2800 lm	156 lm/W
18 W	5000 K	2880 lm	160 lm/W
18 W	6500 K	2800 lm	156 lm/W
WYMIARY I WAGA
Długość	1200,00 mm
Wysokość	68,00 mm
Szerokość	78,00 mm
Masa produktu	1060,00 g
MATERIAŁY I KOLORY
Kolor produktu	Szary
Kolor obudowy	Szary
Numer RAL [PIM]	RAL 9018
Materiał	Polycarbonate (PC)
Materiał osłony	Polycarbonate (PC)
Materiał powierzchni emitującej światło	Poliwęglany
Próba palności zgodnie z IEC 60695-2-12	850 °C
Zawartość rtęci	0.0 mg
ZASTOSOWANIE I MONTAŻ
Zakres temperatury otoczenia	-20…+40 °C
Zakres temperatury magazynowania	-40…+80 °C
Typ połączeń	Złącze bezśrubowe, 3-biegunowe
Typ zabezpieczenia	IP65
Klasa IK ( odporność na uderzenia) [PIM]	IK08
Ściemnialna	Nie
Rodzaj montażu	Surface
Miejsce montażu	Sufit; Ściana
Obszar zastosowania	We wnętrzu
ETIM - Mounting height (EF003874)	0 m
Regulowany	Nie
Ze źródłem światła	Tak
Wymienne źródło światła	Nie
Trwałość
Trwałość L70/B50 @ 25 °C	100000 h 1)
Trwałość L80/B10 @ 25 °C	75000 h 1)
Trwałość L90/B10 @ 25 °C	61000 h
Liczba cykli włączeniowych	100000
1) t[h]: L70 / B50 @ 25°C (Ta), t[h]: L80 / B10 @ 25°C (Ta), t[h]: L90 / B10 @ 25°C (Ta)
UKŁAD ZASILAJĄCY
Prąd wyjściowy	150/85 mA
ECG (SE) - wartość tętnienia prądu	&lt; 5 %
OŚWIETLENIE AWARYJNE
Rodzaj oświetlenia awaryjnego (EL)	W zestawie certyfikowany sterownik EL (praca przy 0 Hz / DC) do zasilania z baterii centralnej
Rodzaj testu pracy awaryjnej	Brak
CERTYFIKATY I NORMY
Normy	CE; UKCA; EAC; ENEC; EPD
Ograniczona temperatura powierzchni	Tak
Zebezpieczenie przed uderzeniami piłki	Nie
EPD	LEDV-00080-V01.01-EN
Wymienny modułu LED	Niewymienialny
INFORMACJE DODATKOWE
Uwaga dotycząca produktu	Dostępne od marca 2026; W przypadku stosowania w bardzo niskich temperaturach, np. w chłodniach, może być wymagana specjalna membrana, do zapewnienia długiej trwałości
Dodatkowe funkcje	MULTI SELECT
KARTA PRODUKTU DOTYCZĄCA JAKOŚCI I CHARAKTERYSTYK ŚRODOWISKOWYCH
Minimalny wskaźnik materiałów poddanych recyklingowi w opakowaniach	80 % 1)
Minimalny procent zawartości materiałów pochodzących z recyklingu w produkcie	0 % 1)
Możliwość recyklingu produktu	Produkt w większości nadający się do recyklingu 1)
Możliwość recyklingu opakowania	Opakowania w większości nadają się do recyklingu 1)
Wykaz substancji niebezpiecznych zawartych w produkcie w stężeniach większych niż 0,1% w procentach masowych	Nie
Zawiera substancje budzące bardzo duże obawy w stężeniach większych niż 0,1% wagowo	Nie</t>
  </si>
  <si>
    <t>18-31W</t>
  </si>
  <si>
    <t>4000-6500K</t>
  </si>
  <si>
    <t>2800-4960lm</t>
  </si>
  <si>
    <t>160lm/W</t>
  </si>
  <si>
    <t>115°</t>
  </si>
  <si>
    <t>Damp Proof</t>
  </si>
  <si>
    <t>1200.00x78.00mm</t>
  </si>
  <si>
    <t>1200.00mm</t>
  </si>
  <si>
    <t>78.00mm</t>
  </si>
  <si>
    <t>68.00mm</t>
  </si>
  <si>
    <t>Polycarbonate (PC)</t>
  </si>
  <si>
    <t>135,000 mA</t>
  </si>
  <si>
    <t>{"barwa": "text_columns", "barwa_zakres": "text_columns", "dlugosc": "text_columns", "ik": "text_columns", "ip": "title", "kat_swiecenia": "text_columns", "kolor": "text_columns", "lm_w": "text_columns", "material": "text_columns", "moc": "text_columns", "napiecie": "text_columns", "prad": "text_columns", "producent": "producer_column", "seria": "title", "strumien": "text_columns", "szerokosc": "text_columns", "wymiary": "text_columns", "wysokosc": "text_columns"}</t>
  </si>
  <si>
    <t>{"barwa": 0.88, "barwa_zakres": 0.88, "dlugosc": 0.88, "ik": 0.88, "ip": 0.98, "kat_swiecenia": 0.88, "kolor": 0.88, "lm_w": 0.88, "material": 0.88, "moc": 0.88, "napiecie": 0.88, "prad": 0.88, "producent": 0.99, "seria": 0.65, "strumien": 0.88, "szerokosc": 0.88, "wymiary": 0.88, "wysokosc": 0.88}</t>
  </si>
  <si>
    <t>Oprawa hermetyczna LED Damp Proof Fit 18-31W 2800-4960lm 4000-6500K IP65 Ledvance 4099854725623</t>
  </si>
  <si>
    <t>https://www.ledvance.com/00_Free_To_Use/13354722/image-thumb__13354722__ProductGalleryImage/asset-13354722_dp_fit_1200_v_31w_ml_8405065_ip65-_ledv.jpg</t>
  </si>
  <si>
    <t>Sposób montażu
Szyna montażowa DIN 35 mm
Napięcie znamionowe [V]
1500
Zakres temperatur pracy [°C]
80
Klasa palności materiału izolacyjnego zgodna z UL94
V0
Wysokość przy najniższym sposobie montażu [mm]
150
Wymagana płytka zamykająca
Nie
Liczba poziomów
1
Wewnętrzne piętra zmostkowane
Nie
Przekrój przyłączanego przewodu jednodrutowego [mm2] od
1,5
Przekrój przyłączanego przewodu linkowego bez końcówki tulejkowej [mm2]
16
Przekrój przyłączanego przewodu linkowego bez końcówki tulejkowej [mm2] do
16
Pozycja połączenia
Z boku / boczny
Wykonanie przeciwwybuchowe Ex-e - potwierdzone
Nie
Kolor
Wielobarwny
Długość [mm]
165
Rodzaj materiału izolacyjnego
Tworzywo termoplastyczne
Szerokość / rozmiar rastra [mm]
110
Wersja przeciwwybuchowa „EEx e”
Nie
Rodzaj połączenia elektrycznego 1
Połączenie śrubowe
Liczba zacisków na poziom
5
Przekrój przyłączanego przewodu jednodrutowego [mm2]
16
Przekrój przyłączanego przewodu jednodrutowego [mm2] do
16
Przekrój przyłączanego przewodu linkowego bez końcówki tulejkowej [mm2] od
1,5
Materiał elementu izolacyjnego
Tworzywo termoplastyczne
Prąd znamionowy In [A]
82</t>
  </si>
  <si>
    <t>Złączka</t>
  </si>
  <si>
    <t>wielobarwny</t>
  </si>
  <si>
    <t>Zacisk</t>
  </si>
  <si>
    <t>OTL16-5x</t>
  </si>
  <si>
    <t>165x110mm</t>
  </si>
  <si>
    <t>165mm</t>
  </si>
  <si>
    <t>V0</t>
  </si>
  <si>
    <t>{"dlugosc": "text_columns", "kolor": "text_columns", "material": "text_columns", "model": "title", "napiecie": "title", "prad": "text_columns", "producent": "producer_column", "seria": "title", "szerokosc": "text_columns", "wymiary": "text_columns", "wysokosc": "text_columns"}</t>
  </si>
  <si>
    <t>{"dlugosc": 0.88, "kolor": 0.88, "material": 0.88, "model": 0.6, "napiecie": 0.98, "prad": 0.88, "producent": 0.99, "seria": 0.65, "szerokosc": 0.88, "wymiary": 0.88, "wysokosc": 0.88}</t>
  </si>
  <si>
    <t>Złączka uniwersalna OTL16-5x 5x1xAl/Cu 1,5-16mm2 1000VAC/1500VDC wielobarwna Morek MAA5016A11</t>
  </si>
  <si>
    <t>https://static5.redcart.pl/templates/images/thumb/56111/1500/1500/pl/0/templates/images/products/56111/81377f5133e437dbbb9f813fc1e494e9.jpg</t>
  </si>
  <si>
    <t>Kolor
Wielobarwny
Długość [mm]
200
Rodzaj materiału izolacyjnego
Tworzywo termoplastyczne
Szerokość / rozmiar rastra [mm]
75
Wersja przeciwwybuchowa „EEx e”
Nie
Rodzaj połączenia elektrycznego 1
Połączenie śrubowe
Liczba zacisków na poziom
5
Przekrój przyłączanego przewodu jednodrutowego [mm2]
50
Przekrój przyłączanego przewodu jednodrutowego [mm2] do
50
Przekrój przyłączanego przewodu linkowego bez końcówki tulejkowej [mm2] od
1,5
Materiał elementu izolacyjnego
Tworzywo termoplastyczne
Prąd znamionowy In [A]
160
Sposób montażu
Szyna montażowa DIN 35 mm
Napięcie znamionowe [V]
1500
Zakres temperatur pracy [°C]
80
Klasa palności materiału izolacyjnego zgodna z UL94
V0
Wysokość przy najniższym sposobie montażu [mm]
125
Wymagana płytka zamykająca
Nie
Liczba poziomów
1
Wewnętrzne piętra zmostkowane
Nie
Przekrój przyłączanego przewodu jednodrutowego [mm2] od
1,5
Przekrój przyłączanego przewodu linkowego bez końcówki tulejkowej [mm2]
50
Przekrój przyłączanego przewodu linkowego bez końcówki tulejkowej [mm2] do
50
Pozycja połączenia
Z boku / boczny
Wykonanie przeciwwybuchowe Ex-e - potwierdzone
Nie</t>
  </si>
  <si>
    <t>OTL50-5x</t>
  </si>
  <si>
    <t>200x75mm</t>
  </si>
  <si>
    <t>75mm</t>
  </si>
  <si>
    <t>125mm</t>
  </si>
  <si>
    <t>Tworzywo termoplastyczne</t>
  </si>
  <si>
    <t>Złączka uniwersalna OTL50-5x 5x1xAl/Cu 1,5-50mm2 1000VAC/1500VDC wielobarwna Morek MAA5050A10</t>
  </si>
  <si>
    <t>https://www.eelektryka.com/23524-thickbox_default/morek-otl-z%C5%82%C4%85czka-szynowa-gwintowa-alcu-5px15-50mm2-maa5050a10.jpg</t>
  </si>
  <si>
    <t>Napięcie znamionowe [V]
1500
Zakres temperatur pracy [°C]
80
Klasa palności materiału izolacyjnego zgodna z UL94
V0
Wysokość przy najniższym sposobie montażu [mm]
51
Rodzaj połączenia elektrycznego 1
Połączenie śrubowe
Przekrój przyłączanego przewodu jednodrutowego [mm2]
95
Przekrój przyłączanego przewodu jednodrutowego [mm2] do
95
Pozycja połączenia
Z boku / boczny
Kolor
Szary
Długość [mm]
84
Rodzaj materiału izolacyjnego
Tworzywo termoplastyczne
Szerokość / rozmiar rastra [mm]
25
Wymagana płytka zamykająca
Nie
Liczba poziomów
1
Przekrój przyłączanego przewodu jednodrutowego [mm2] od
6
Materiał elementu izolacyjnego
Tworzywo termoplastyczne
Prąd znamionowy In [A]
245</t>
  </si>
  <si>
    <t>OTL95-5x</t>
  </si>
  <si>
    <t>84x25mm</t>
  </si>
  <si>
    <t>84mm</t>
  </si>
  <si>
    <t>51mm</t>
  </si>
  <si>
    <t>Złączka uniwersalna OTL95-5x 5x1xAl/Cu 6-95mm2 1000VAC/1500VDC szara Morek MAA5095A10</t>
  </si>
  <si>
    <t>https://media.solar.pl/photo/products_full/88fd9b4f1e7a7904870c638c8f20ed5a.jpg</t>
  </si>
  <si>
    <t>Kolor
Szary
Wysokość [mm]
39
Rodzaj połączenia
Śrubowy
Liczba podłączeń 25 mm2
2
Liczba biegunów
1
Łączna liczba podłączeń
4
Sposób montażu
Szyna DIN / śruba
Szerokość [mm]
21
Głębokość [mm]
42,5
Prąd znamionowy [A]
100
Liczba podłączeń 16 mm2
2
Osłona izolacyjna przed dotykiem
Tak</t>
  </si>
  <si>
    <t>HLAK 25 1P</t>
  </si>
  <si>
    <t>HLAK 1000VAC</t>
  </si>
  <si>
    <t>2xAl</t>
  </si>
  <si>
    <t>21mm</t>
  </si>
  <si>
    <t>39mm</t>
  </si>
  <si>
    <t>{"kolor": "text_columns", "liczba_biegunow": "text_columns", "model": "title", "prad": "text_columns", "producent": "producer_column", "seria": "title", "szerokosc": "text_columns", "wysokosc": "text_columns"}</t>
  </si>
  <si>
    <t>{"kolor": 0.88, "liczba_biegunow": 0.88, "model": 0.6, "prad": 0.88, "producent": 0.99, "seria": 0.65, "szerokosc": 0.88, "wysokosc": 0.88}</t>
  </si>
  <si>
    <t>Blok dystrybucyjny HLAK 25 1P 2xAl/Cu 25mm2+16mm2 1000VAC/1500VDC szary Morek MAG1251A00</t>
  </si>
  <si>
    <t>https://electric.pl/_next/image?url=https%3A%2F%2Felectricbackend.electric.pl%2Fwp-content%2Fuploads%2F2026%2F03%2FBlok-dystrybucyjny-rozdzielczy-HLAK25-1P-szary-2xAlCu-25mm_16mm_-1000VAC1500VDC-MAG1251A00-0001_00021_41347_1_pr_pr.jpg&amp;w=828&amp;q=75</t>
  </si>
  <si>
    <t>CN
85369010
Liczba podłączeń 25 mm2
2
Liczba podłączeń 16 mm2
2
Łączna liczba podłączeń
4
Prąd znamionowy [A]
100
Liczba biegunów
1
Szerokość [mm]
21
Osłona izolacyjna przed dotykiem
Tak
Rodzaj połączenia
Śrubowy
Sposób montażu
Szyna DIN / śruba
Głębokość [mm]
42.5
Wysokość [mm]
39
EAN
4744397041944</t>
  </si>
  <si>
    <t>niebieski</t>
  </si>
  <si>
    <t>42.5mm</t>
  </si>
  <si>
    <t>Blok dystrybucyjny HLAK 25 1P 2xAl/Cu 25mm2+16mm2 1000VAC/1500VDC niebieski Morek MAG1251B00</t>
  </si>
  <si>
    <t>https://electric.pl/_next/image?url=https%3A%2F%2Felectricbackend.electric.pl%2Fwp-content%2Fuploads%2F2026%2F03%2FBlok-dystrybucyjny-rozdzielczy-HLAK25-1P-niebieski-2xAlCu-25mm_16mm_-1000VAC1500VDC-MAG1251B00-0001_00021_41346_1_pr_pr.jpg&amp;w=828&amp;q=75</t>
  </si>
  <si>
    <t>Szerokość [mm]
21
Głębokość [mm]
42,5
Prąd znamionowy [A]
100
Liczba podłączeń 16 mm2
2
Osłona izolacyjna przed dotykiem
Tak
Sposób montażu
Szyna DIN / śruba
Wysokość [mm]
39
Rodzaj połączenia
Śrubowy
Liczba podłączeń 25 mm2
2
Liczba biegunów
1
Łączna liczba podłączeń
4</t>
  </si>
  <si>
    <t>Blok dystrybucyjny HLAK 25 1P 2xAl/Cu 25mm2+16mm2 1000VAC/1500VDC zielony Morek MAG1251G00</t>
  </si>
  <si>
    <t>https://sklep.ke.pl/media/catalog/product/cache/4abdd235175f42d204b3b3739e0f049e/p/i/pim-4170337.png</t>
  </si>
  <si>
    <t>Szerokość [mm]
99
Głębokość [mm]
42,5
Prąd znamionowy [A]
100
Liczba podłączeń 16 mm2
5
Osłona izolacyjna przed dotykiem
Tak
Sposób montażu
Szyna DIN / śruba
Wysokość [mm]
39
Rodzaj połączenia
Śrubowy
Liczba podłączeń 25 mm2
10
Liczba biegunów
5</t>
  </si>
  <si>
    <t>HLAK 25 5P</t>
  </si>
  <si>
    <t>99mm</t>
  </si>
  <si>
    <t>Blok dystrybucyjny HLAK 25 5P 2xAl/Cu 25mm2+16mm2 1000VAC/1500VDC szary niebieski zielony Morek MAG5253ABG</t>
  </si>
  <si>
    <t>https://www.twojaelektra.pl/img/261192/blok-dystrybucyjny-hlak-25-5p-szary-niebieski-zi</t>
  </si>
  <si>
    <t>Przedłużacz</t>
  </si>
  <si>
    <t>250V</t>
  </si>
  <si>
    <t>XRELL</t>
  </si>
  <si>
    <t>20mm</t>
  </si>
  <si>
    <t>{"dlugosc_przewodu": "text_columns", "ip": "text_columns", "kolor": "text_columns", "napiecie": "text_columns", "producent": "producer_column", "seria": "title"}</t>
  </si>
  <si>
    <t>{"dlugosc_przewodu": 0.88, "ip": 0.88, "kolor": 0.88, "napiecie": 0.88, "producent": 0.99, "seria": 0.65}</t>
  </si>
  <si>
    <t>Przedłużacz bębnowy X-REEL 30m 4xGS16A IP20 PCE 92501T48163</t>
  </si>
  <si>
    <t>https://mateomarket.pl/img/products/26/29/35/1.jpg?v=1727252009</t>
  </si>
  <si>
    <t>Przedłużacz bębnowy X-REEL 20m 4xGS16A IP20 PCE 92501T48223</t>
  </si>
  <si>
    <t>https://sklep.fega.pl/media/catalog/product/cache/e998f4d42b566db7ee229deb4091fee3/p/i/pim-1424553_1.jpg</t>
  </si>
  <si>
    <t>MATCH_DUPLICATE_FIRST_USED</t>
  </si>
  <si>
    <t>Gniazda</t>
  </si>
  <si>
    <t>400V</t>
  </si>
  <si>
    <t>czerwony</t>
  </si>
  <si>
    <t>COMBO-POL2</t>
  </si>
  <si>
    <t>{"ip": "text_columns", "kolor": "text_columns", "material": "text_columns", "model": "title", "napiecie": "text_columns", "producent": "producer_column", "seria": "title"}</t>
  </si>
  <si>
    <t>{"ip": 0.88, "kolor": 0.88, "material": 0.88, "model": 0.6, "napiecie": 0.88, "producent": 0.99, "seria": 0.65}</t>
  </si>
  <si>
    <t>Gniazdo stałe COMBO-POL2 CEE 16A 5P 400V 2xGS16A IP44 PCE 160815421W</t>
  </si>
  <si>
    <t>https://files.etim-mapper.com/pce/16A-5p-mit-Schalter_zoom.jpg</t>
  </si>
  <si>
    <t>Rozdzielnica</t>
  </si>
  <si>
    <t>OPOLE</t>
  </si>
  <si>
    <t>{"ip": "text_columns", "napiecie": "text_columns", "producent": "producer_column", "seria": "title"}</t>
  </si>
  <si>
    <t>{"ip": 0.88, "napiecie": 0.88, "producent": 0.99, "seria": 0.65}</t>
  </si>
  <si>
    <t>Rozdzielnica przenośna OPOLE CEE 16A 32A 4xGS16A IP54 PCE 909110002W</t>
  </si>
  <si>
    <t>https://files.etim-mapper.com/pce/909110002W.jpg</t>
  </si>
  <si>
    <t>Przedłużacz bębnowy automatyczny 14+2m Plastrol W-100518</t>
  </si>
  <si>
    <t>40W</t>
  </si>
  <si>
    <t>6500lm</t>
  </si>
  <si>
    <t>KEL</t>
  </si>
  <si>
    <t>{"moc": "title", "producent": "producer_column", "seria": "title", "strumien": "title"}</t>
  </si>
  <si>
    <t>{"moc": 0.98, "producent": 0.99, "seria": 0.65, "strumien": 0.95}</t>
  </si>
  <si>
    <t>Naświetlacz akumulatorowy LED KEL 40W 6500lm 4000mAh Plastrol W-00318</t>
  </si>
  <si>
    <t>https://b2b.plastrol.pl/wp-content/uploads/product-images/2026_02/W-00318/W-00318_00.jpg</t>
  </si>
  <si>
    <t>Reflektor roboczy potrójny</t>
  </si>
  <si>
    <t>3200lm</t>
  </si>
  <si>
    <t>Reflektor roboczy potrójny na statywie KEL 40W 3200lm Plastrol W-00315</t>
  </si>
  <si>
    <t>https://b2b.plastrol.pl/wp-content/uploads/product-images/2026_02/W-00315/W-00315_00.jpg</t>
  </si>
  <si>
    <t>Listwa przepieciowa 6</t>
  </si>
  <si>
    <t>USB USB</t>
  </si>
  <si>
    <t>Listwa przepięciowa 6 gniazd 2P+Z USB-A USB Plastrol W-00354</t>
  </si>
  <si>
    <t>https://b2b.plastrol.pl/wp-content/uploads/product-images/2025_06/W-00354/W-00354_00.png</t>
  </si>
  <si>
    <t>Kolor
niebieski
Rozstaw otworów mocujących
60 mm
Szerokość
65 mm
Długość
128 mm
Głębokość
62 mm
Wysokość
63 mm
Tworzywo
poliamid PA 6
Właściwości tworzywa
bezhalogenowe / samogasnące
Cechy użytkowe
szeregowa
Odporność na żar
960 °C
Klasa palności
UL94 V0
Stopień ochrony
IP20
Napięcie znamionowe
400 V
Maks. przekrój przewodu
2,5 mm²
Temperatura pracy
-5 °C...+35 °CKolor
niebieski
Rozstaw otworów mocujących
60 mm
Szerokość
65 mm
Długość
128 mm
Głębokość
62 mm
Wysokość
63 mm
Tworzywo
poliamid PA 6
Właściwości tworzywa
bezhalogenowe / samogasnące
Cechy użytkowe
szeregowa
Odporność na żar
960 °C
Klasa palności
UL94 V0
Stopień ochrony
IP20
Napięcie znamionowe
400 V
Maks. przekrój przewodu
2,5 mm²
Temperatura pracy
-5 °C...+35 °C</t>
  </si>
  <si>
    <t>Puszka</t>
  </si>
  <si>
    <t>60 mm</t>
  </si>
  <si>
    <t>960°</t>
  </si>
  <si>
    <t>SE2x60D</t>
  </si>
  <si>
    <t>128x65mm</t>
  </si>
  <si>
    <t>128mm</t>
  </si>
  <si>
    <t>65mm</t>
  </si>
  <si>
    <t>62mm</t>
  </si>
  <si>
    <t>poliamid PA 6</t>
  </si>
  <si>
    <t>{"dlugosc": "text_columns", "ip": "text_columns", "kat_swiecenia": "text_columns", "kolor": "text_columns", "material": "text_columns", "moc": "text_columns", "model": "title", "napiecie": "text_columns", "producent": "producer_column", "szerokosc": "text_columns", "wymiary": "text_columns", "wysokosc": "text_columns"}</t>
  </si>
  <si>
    <t>{"dlugosc": 0.88, "ip": 0.88, "kat_swiecenia": 0.88, "kolor": 0.88, "material": 0.88, "moc": 0.88, "model": 0.6, "napiecie": 0.88, "producent": 0.99, "szerokosc": 0.88, "wymiary": 0.88, "wysokosc": 0.88}</t>
  </si>
  <si>
    <t>Puszka podtynkowa 128x65mm IP20 niebieska Simet 34117203</t>
  </si>
  <si>
    <t>https://www.simet.com.pl/wp-content/uploads/Produkty/zdjecia-PUSZKI/Puszki-do-specjalnych-zastosowan/34117203-puszka-kieszeniowa-do-elektroniki-SE2x60D-simet-3.jpg</t>
  </si>
  <si>
    <t>Kolor
pomarańczowy
Średnica
65 mm
Rozstaw otworów mocujących
60 mm
Głębokość
59,8 mm
Wysokość
61 mm
Tworzywo
polipropylen
Właściwości tworzywa
bezhalogenowe
Cechy użytkowe
szeregowa
Odporność na żar
650 °C</t>
  </si>
  <si>
    <t>650°</t>
  </si>
  <si>
    <t>pomarańczowy</t>
  </si>
  <si>
    <t>S60DFw</t>
  </si>
  <si>
    <t>59.8mm</t>
  </si>
  <si>
    <t>polipropylen</t>
  </si>
  <si>
    <t>{"kat_swiecenia": "text_columns", "kolor": "text_columns", "material": "text_columns", "moc": "text_columns", "model": "title", "producent": "producer_column", "srednica": "text_columns", "wysokosc": "text_columns"}</t>
  </si>
  <si>
    <t>{"kat_swiecenia": 0.88, "kolor": 0.88, "material": 0.88, "moc": 0.88, "model": 0.6, "producent": 0.99, "srednica": 0.88, "wysokosc": 0.88}</t>
  </si>
  <si>
    <t>Puszka podtynkowa 65mm pomarańczowa Simet 33069008</t>
  </si>
  <si>
    <t>https://www.simet.com.pl/wp-content/uploads/33009008-S60GFw-puszka-podtynkowa-supergleboka-80mm-simet.jpg</t>
  </si>
  <si>
    <t>Kolor
niebieski
Średnica
68 mm
Rozstaw otworów mocujących
60 mm
Głębokość
58,8 mm
Wysokość
60 mm
Tworzywo
poliamid PA 6
Właściwości tworzywa
bezhalogenowe / samogasnące
Cechy użytkowe
łączona
Odporność na żar
960 °C
Klasa palności
UL94 V0
Stopień ochrony
IP30
Napięcie znamionowe
400 V
Maks. przekrój przewodu
2,5 mm²</t>
  </si>
  <si>
    <t>IP30</t>
  </si>
  <si>
    <t>58.8mm</t>
  </si>
  <si>
    <t>68mm</t>
  </si>
  <si>
    <t>do pustych ścian PV60D niebieski</t>
  </si>
  <si>
    <t>{"ip": "text_columns", "kat_swiecenia": "text_columns", "kolor": "text_columns", "material": "text_columns", "moc": "text_columns", "napiecie": "text_columns", "pasuje_do": "title", "producent": "producer_column", "srednica": "text_columns", "wysokosc": "text_columns"}</t>
  </si>
  <si>
    <t>{"ip": 0.88, "kat_swiecenia": 0.88, "kolor": 0.88, "material": 0.88, "moc": 0.88, "napiecie": 0.88, "pasuje_do": 0.78, "producent": 0.99, "srednica": 0.88, "wysokosc": 0.88}</t>
  </si>
  <si>
    <t>Puszka do pustych ścian 68mm IP30 niebieska Simet 32013203</t>
  </si>
  <si>
    <t>https://www.simet.com.pl/wp-content/uploads/32013203-PV60D-puszka-do-pustych-scian-simet.jpg</t>
  </si>
  <si>
    <t>atrybuty nie posegregowane</t>
  </si>
  <si>
    <t xml:space="preserve">
Nazwa produktu	
Eaton xPole - Ogranicznik przepięć SPPVR
Numer katalogowy	
EP-501966
EAN	
9010653062875
Długość/głębokość produktu	
104 mm
Wysokość produktu	
60 mm
Szerokość produktu	
54 mm
Masa produktu	
0.28 kg
Zgodność/zgodności	
RoHS conform
Certyfikat(y)	
CE
Kod modelu	
SPPVRT2-10-2+PE
Dodatkowe informacje
Cechy	
Typ 2
Cechy specjalne	
Na wtyk
Typ konfiguracji układu	
DC
Dostawy
Zastosowanie	
Open areas Residential buildings Utility buildings
Typ	
DC overvoltage protection Surge arrester
Weryfikacja projektu zgodnie z IEC/EN 61439 - dane techniczne
Temperatura otocz. podczas pracy — maks.	
85 °C
Temperatura otocz. podczas pracy — min.	
-40 °C
Technical data - electrical
Temperatura otocz. podczas pracy — maks.	
85 °C
Temperatura otocz. podczas pracy — min.	
-40 °C
Przekrój przewodnika (elastyczny, drobna plecionka) — maks.	
25 mm²
Przekrój przewodu (elastyczny, drobna plecionka) — min.	
25 mm²
Przekrój przewodu (sztywny, sztywny-pleciony) — maks.	
35 mm²
Przekrój przewodu (sztywny, sztywny-pleciony) — min.	
35 mm²
Ciągłe napięcie przy DC — maks.	
1000 V
Prąd wyładowczy (8/20) — maks.	
40 kA
Cechy	
Typ 2
Rama	
3 moduły
Sposób montażu	
Szyna DIN (szyna montażowa) 35 mm
Znamionowy prąd wyładowczy (8/20)	
20 kA
Napięcie znamionowe przy DC	
1000 V
Liczba przewodów bez uziemienia	
2
Napięcie PV — maks.	
1000 V
Wytrzymałość zwarciowa (ISCCR)	
9 kA
Sygnalizacja zadziałania na urządzeniu	
Układ optyczny
Poziom ochrony	
3.9 KV
Poziom ochrony (L-N)	
2.5 KV
Stopień ochrony</t>
  </si>
  <si>
    <t>https://www.eaton.com/mdmfiles/contentId/EP-501967_L/1000x1000_300dpi</t>
  </si>
  <si>
    <t>https://www.eaton.com/mdmfiles/PDM103149180/240733_LDO/1000x1000_300dpi</t>
  </si>
  <si>
    <t xml:space="preserve">
Product Name	
Eaton xComfort BF small distribution board
Catalog Number	
285345
EAN	
4015082853457
Product Length/Depth	
150 mm
Product Height	
610 mm
Product Width	
555 mm
Product Weight	
10.3 kg
Compliances	
RoHS conform
Certifications	
IEC/EN 61439-3
IEC/EN 62208
IEC/EN 61439-1
Model Code	
BF-O-3/72-P
Dodatkowe informacje
Features	
EMC-version
Earthing terminal block
Neutral terminal block
Fitted with:	
Front plates
Door with three-point turn-lock
Enclosure
Neutral-/protective conductor terminal
Cable gland plate inserts (top)
DIN rail mounting frame
Functions	
Basic device
Sealable
Protection class	
I (earthed)
RAL-number	
9016
Special features	
IP30 Protection Class I Steel sheet enclosure white (RAL 9016)
Dostawy
Application	
Indoor (installation site)
Color	
White
Traffic white (RAL 9016)
Type	
Basic device BF flat DBO Installation distribution boards
Weryfikacja projektu zgodnie z normą IEC/EN 61439
10.10 Temperature rise	
The panel builder is responsible for the temperature rise calculation. Eaton will provide heat dissipation data for the devices.
10.11 Short-circuit rating	
Is the panel builder's responsibility.
10.12 Electromagnetic compatibility	
Is the panel builder's responsibility.
10.13 Mechanical function	
Meets the product standard's requirements.
10.2.2 Corrosion resistance	
Meets the product standard's requirements.
10.2.3.1 Verification of thermal stability of enclosures	
Meets the product standard's requirements.
10.2.3.2 Verification of resistance of insulating materials to normal heat	
Meets the product standard's requirements.
10.2.3.3 Resist. of insul. mat. to abnormal heat/fire by internal elect. effects	
Meets the product standard's requirements.
10.2.4 Resistance to ultra-violet (UV) radiation	
Not relevant to indoor installations.
10.2.5 Lifting	
Does not apply to enclosures without lifting aids.
10.2.6 Mechanical impact	
IK07
10.2.7 Inscriptions	
Meets the product standard's requirements.
10.3 Degree of protection of assemblies	
IP30
10.4 Clearances and creepage distances	
Is the panel builder's responsibility.
10.5 Protection against electric shock	
&lt; 0.1 Ω; meets the product standard's requirements.
10.6 Incorporation of switching devices and components	
Is the panel builder's responsibility.
10.7 Internal electrical circuits and connections	
Is the panel builder's responsibility.
10.8 Connections for external conductors	
Is the panel builder's responsibility.
10.9.2 Power-frequency electric strength	
Ui = 415 V AC
10.9.3 Impulse withstand voltage	
Does not apply to basic enclosures as defined in EN 62208.
10.9.4 Testing of enclosures made of insulating material	
Does not apply to metal enclosures.
Weryfikacja projektu zgodnie z IEC/EN 61439 - dane techniczne
Ambient operating temperature details	
-5 °C - 40 °C
Technical data - electrical
Frequency rating of contacts	
50 Hz / 60 Hz
Voltage rating at AC	
415 V AC
Technical data - mechanical
Built-in depth	
150 mm
Built-in height	
610 mm
Built-in width	
555 mm
Cable entry postion	
Cable entries on top and bottom
Closure type	
Other
Cover/door color	
White
Cover/door model	
Closed
Cover/door type	
Door
Single
Internal depth	
131 mm
Material	
Sheet steel, powder-coated
Module rack type	
Rail frame
Mounting method	
DIN-rail
Surface mounted (plaster)
Surface mounting
Number of module space units per row	
24
Number of rows	
3
PE and N terminal number and cross section	
PE: 2 x 25 mm² + 43 x 16 mm²
N: 2 x 25 mm² + 43 x 16 mm²
Protective shrouding material	
Metal
Terminal type	
Screw terminals
Width in number of modular spacings	
24
Degree of protection	
IK07 (impact resistance)
IP30</t>
  </si>
  <si>
    <t>https://www.eaton.com/mdmfiles/PDM90660717/SG16012_L/1000x1000_300dpi</t>
  </si>
  <si>
    <t>General specifications
Product Name	
Eaton Distribution parts
Catalog Number	
284908
EAN	
4015082849085
Product Length/Depth	
83 mm
Product Height	
75 mm
Product Width	
53.1 mm
Product Weight	
0.285 kg
Compliances	
RoHS conform
Model Code	
ZP-A63/3
Specyfikacje produktu
Degree of protection	
IP40
Imprint/indication	
Symbol "arrows"
Lamp socket	
Other
Built-in depth	
60 mm
Number of contacts (change-over contacts)	
0
Number of contacts (normally closed contacts)	
3
Amperage rating	
63 A
Color calotte	
Other
Switch type	
Off switch
Rated short-time withstand current (Icw)	
3 kA
Voltage type	
AC
Lamp type	
Other
Number of contacts (normally open contacts)	
3
Rated operational voltage (Ue) - max	
400 V
Voltage rating - min	
230 V
Width in number of modular spacings	
3
Number of poles	
Three-pole</t>
  </si>
  <si>
    <t>https://www.eaton.com/mdmfiles/PDM91438256/SG41812_L/1000x1000_300dpi</t>
  </si>
  <si>
    <t>General specifications
Nazwa produktu	
Eaton Shunt trip
Numer katalogowy	
248439
EAN	
4015082484392
Długość/głębokość produktu	
80 mm
Wysokość produktu	
75 mm
Szerokość produktu	
26.2 mm
Masa produktu	
0.087 kg
Zgodność/zgodności	
RoHS conform
Certyfikat(y)	
EN45545-2
IEC 61373
Kod modelu	
ZP-ASA/230
Specyfikacje produktu
Używane z	
Wyzwalacze wzrostowe
Akcesoria do kombinowanego wyłącznika różnicowoprądowego/zasilania
Akcesorium
Akcesoria do wyłącznika nadprądowego
Typ akcesor. / części zam.	
Wyzwalacz wzrostowy
Sposób montażu	
Do montażu po lewej stronie do: FAZ, FRBmM-1N, Z-MS
Wymagane wyposażenie dodatkowe	
Wyzwalacz wzrostowy
Temperatura otocz. podczas pracy — maks.	
75 °C
Temperatura otocz. podczas pracy — min.	
-35 °C
Szerokość montażowa	
1
Liczba styków przełącznych	
0
Liczba styków rozwiernych	
1
Liczba styków zwiernych	
1
Liczba biegunów przy styku głównym — maks.	
1
Liczba przełączn. (sygnal. przepal. wkładów)	
0
Rodzaj napięcia	
AC–prąd zmienny
Funkcje	
Wyzwalacz wzrostowy
Do montażu z	
Inne maszyny
Typ	
Akcesorium
Akcesoria do kombinowanego wyłącznika różnicowoprądowego/zasilania
Akcesoria do wyłącznika nadprądowego
Zastosowanie	
Aparatura łączeniowa do zastosowań w obiektach przemysłowych i zaawansowanych zastosowań komercyjnych
Znamionowe napięcie robocze (Ue) — maks.	
230 V
Można stos. do prądu styków głównych — maks.	
2.1 A</t>
  </si>
  <si>
    <t>https://www.etipolam.com.pl/media/eti/images/product_db/idents/001101214/en-GB/photo/001101214_Photo.webp</t>
  </si>
  <si>
    <t>https://www.etipolam.com.pl/media/eti/images/product_db/idents/001101216/en-GB/photo/001101216_Photo.webp</t>
  </si>
  <si>
    <t>https://www.etipolam.com.pl/media/eti/images/product_db/idents/002172406/en-GB/photo/002172406_Photo.webp</t>
  </si>
  <si>
    <t>001101214
Opis:
ERP18-4
Opis:
Rozdzielnica
Sposób montażu:
Podtynkowa
Prąd znamionowy (A):
100A
Klasa ochronności:
II
Stopień ochrony IP:
IP40
Ilość modułów (w sumie/w rzędzie):
72/18
Rozmiar ramki (ilość rzędów):
4
Drzwi (materiał, kolor):
Metalowe, białe
Obudowa (material, kolor):
Tworzywo, biała
Ilość zacisków PE/N:
24/44
Test rozżarzonym drutem (°C):
650°C</t>
  </si>
  <si>
    <t>Numer katalogowy:
001101216
Opis:
ERP18-5
Opis:
Rozdzielnica
Sposób montażu:
Podtynkowa
Prąd znamionowy (A):
100A
Klasa ochronności:
II
Stopień ochrony IP:
IP40
Ilość modułów (w sumie/w rzędzie):
90/18
Rozmiar ramki (ilość rzędów):
5
Drzwi (materiał, kolor):
Metalowe, białe
Obudowa (material, kolor):
Tworzywo, biała
Ilość zacisków PE/N:
48/55
Test rozżarzonym drutem (°C):
650°C</t>
  </si>
  <si>
    <t>Numer katalogowy:
002172406
Opis:
KZS-2M2p EDI A B16/0.03
Opis:
Wył. różnicowy z zabezp. nadpr
Prąd znamionowy (A):
16A
Typ:
A
Znamionowy prąd różnicowy (A):
0.03A
Charakterystyka wyzwalania:
B
Ilość biegunów:
2
Prąd zwarciowy (kA):
10kA
Częstotliwość znamionowa (Hz):
50Hz/60Hz
Znamionowy przekrój poprzeczny:
1mm²-25mm²
Normy:
IEC 61009</t>
  </si>
  <si>
    <t>https://www.fif.com.pl/6484-large_default/przelacznik-automatyczny-psr-463-auto.jpg</t>
  </si>
  <si>
    <t>Indeks PSR-463-AUTO
Napięcie udarowe
4 kV
Czas przełączania
≤ 5 s
Prąd znamionowy [AC-21B/AC-22A]
63 A
Liczba biegunów
4P
Wytrzymałość elektryczna
6000 cykli
Wytrzymałość mechaniczna
10 000 cykli
Napięcie izolacji
500 V
Moment dokręcający
2 Nm
Napięcie pracy
3x230/400 V
Zdolność łączeniowa zwarciowa Icm
7,5 kA (0,1s)
Znamionowa zwarciowa zdolność łączeniowa Icn
5 kA, cosφ-0.65</t>
  </si>
  <si>
    <t>tkanina: 97% bawełna, 3% spandex;
gramatura: 270 g/m²;
wykonane zgodnie z EN ISO 340;
wzmocnienia: OXFORD 600D na kolanach;
kieszenie:
– 2 kieszenie boczne głębokie,
– 1 kieszeń boczna na nogawce,
– 2 kieszenie tylne wzmacniane z patką na rzep,
– 2 kieszenie na nakolanniki zapinane na rzep;
odpinane nogawki umożliwiające szybką adaptację do warunków pracy;
elementy odblaskowe z przodu i z tyłu;
regulacja po bokach za pomocą elastycznej taśmy.</t>
  </si>
  <si>
    <t>kurtka ochronna o mocnym splocie, gramatura materiału 270 g/m²;
wzmocnienia z materiału Oxford 600D;
materiał: 97% bawełna, 3% elastan;
zapinana na zamek;
wyposażona w 5 kieszeni:
–– 2 kieszenie na klatce piersiowej z patką na rzep;
–– 2 dolne kieszenie otwarte ze wzmocnieniami;
–– 1 kieszeń na lewym rękawie;
metka żakardowa wewnętrzna;
szary kolor z czarnymi elementami;
elastyczny materiał zapewniający swobodę ruchów;
elementy odblaskowe – przód i tył kurtki;
góra bluzy zakończona stójką;
regulacja na rzep dołu kurtki i rękawa.</t>
  </si>
  <si>
    <t>https://hoegert.com/wp-content/uploads/2021/09/HT5K284_1.93a0b3f6.png</t>
  </si>
  <si>
    <t>https://hoegert.com/wp-content/uploads/2021/09/EDGAR_HT5K279-1_1.eef3fc9a.jpg</t>
  </si>
  <si>
    <t>https://www.twojaelektra.pl/img/228048/kabel-fotowoltaiczny-solarflex-x-h1z2z2-k-1x6qmm-c</t>
  </si>
  <si>
    <t>https://sklep.elus.pl/img/33902/kabel-solarny-czerwony-do-instalacji-fotwoltaicz.jpg</t>
  </si>
  <si>
    <t>Liczba żył i przekrój	1 x 6 mm2 (AWG 10)
Napięcie pracy U0/U	1000/1000V AC | 1500/1500V DC
Napięcie testu	6,5 kV AC
Klasa CPR (EN 50575)	Dca-s2, d2, a1
Kolor powłoki	Czarny (odporny na UV)
Bezhalogenowy	Tak (LSZH)
Temperatura pracy (stacj.)	-40°C do +90°C (żyła do +120°C)
długość 1 m
Certyfikaty	TÜV Rheinland (R60115689)</t>
  </si>
  <si>
    <t>https://imgproxy.rawlplug.com/_/rt:fit/w:1296/h:736/g:ce/el:false/aHR0cHM6Ly9yYXdscGx1Zy5jb20vbWVkaWEvY2F0YWxvZy9wcm9kdWN0L2NhY2hlLzc0YzEwNTdmNzk5MWI0ZWRiMmJjN2JkYWE5NGRlOTMzL2YvMy9mM2UwZmU4MGRlYmJlNmZjMTdjODYyN2RhNTdjZGQ4MTM0ZDc2ZWZkXzg0NWI3N2JjNmI3MTllOWVmZjNlMzhhNGQ1OGY2NDFjNzFmN2NlODVfUl9QQ04xOF8yN18wMV9hX1IucHNkLndlYnA=</t>
  </si>
  <si>
    <t>Indeks
Napięcie
akumulatora Energia Wymiary Zakres
gwoździ Rodzaj
gwoździ
Ilość
mocowań
z jednego
ładowania
Waga netto [kg]
Pojmność
magazynka
Czas
ładowania
baterii
[V] [J] [mm] [mm] [gwoździe] [min]
R-PCN18-27 18 90 420x120x320 15-27 Beton / Stal 900 3,7 33 50</t>
  </si>
  <si>
    <t>https://tse3.mm.bing.net/th/id/OIP.PIyGYQb2_qchwwHt1pbkkQHaHa?r=0&amp;w=474&amp;h=474&amp;c=7&amp;p=0</t>
  </si>
  <si>
    <t>Dane techniczne
Długość 1m
Zakres temperatur: –40°C do +90°C
Napięcie nominalne AC: 1,0/1,0 kV
Napięcie nominalne DC: 1,5/1,5 kV
Minimalny promień gięcia: ułożony na stałe 5x Fi kabla
Budowa
Miedziana żyła pobielana wg DIN VDE 0295cl.5, cienki drut, IEC 60228 kl.5
Kolor powłoki: czerwony
Właściwości
Podwójnie izolowany
Druga klasa ochronności
Odporny na UV
Odporny na ozon
Testy
Bezhalogenowy wg EN 50267, IEC 60754
Nierozprzestrzeniający płomieni wg IEC 60332-1-2
Niska emisja dymu wg IEC 61034
Aprobaty
Odporny na promieniowanie UV wg EN 50618
TÜV R60115689</t>
  </si>
  <si>
    <t>Parametr	Wartość
Producent / marka katalogowa	HELUKABEL
Producent złącza	Stäubli / Multi-Contact
Nr katalogowy HELUKABEL	11024828
Typ produktu	gniazdo / złącze żeńskie MC4 Evo 2
Odpowiednik typu	PV-KBT4-EVO 2/6I-UR
Przekrój przewodu	4,00-6,00 mm²
Średnica zewnętrzna przewodu	4,70-6,40 mm
Jednostka opakowania dla 11024828	100 szt.
Napięcie znamionowe	1500 V IEC
Prąd znamionowy	45 A dla 4 mm² / 53 A dla 6 mm²
Zakres temperatury pracy	-40°C do +85°C
Stopień ochrony	IP68
Klasa bezpieczeństwa	II
Rezystancja styków	0,20 mOhm
Materiał obudowy	Poliamid PA V0 wg UL 94
Materiał styku	Miedź cynowana
System styku	MULTILAM
Sposób połączenia	zaciskanie / crimping</t>
  </si>
  <si>
    <t>https://images.openai.com/static-rsc-4/FEdtaOITEuEi8FCtaDTQQzXQQ-P0E0iGo0WAhz7wALJd_CVP0fVWouFFl4TH5Op_etYK8l3KN4TYrdY9cMEuhG9rh_fXIdc4v7T3IGmH7d__tvbWAOnz__xSUVNE9sDuVB4xKZpslxgjr2_W1SnJO4Qu5KfN9D5w5oniV19qSh5v1NWUDS1UOtGb6N9zmgZm?purpose=fullsize</t>
  </si>
  <si>
    <t>Parametr	Wartość
Producent / marka w kartotece	HELUKABEL
Producent złącza	Stäubli / Multi-Contact
Nr katalogowy HELUKABEL	11024829
Typ produktu	wtyk / złącze kablowe męskie MC4 Evo 2
Typ Stäubli	PV-KST4-EVO 2/6I-UR / PV-KST4/6I-UR
Przekrój przewodu	4,00-6,00 mm²
Średnica zewnętrzna przewodu	4,70-6,40 mm
Jednostka opakowania HELUKABEL dla 11024829	100 szt.
Napięcie znamionowe	1500 V DC
Prąd znamionowy	45 A dla 4 mm² / 53 A dla 6 mm²
Stopień ochrony po połączeniu	IP65 / IP68
Zakres temperatury pracy	od -40°C do +85°C
Klasa ochronności	II
Rezystancja styku	&lt; 0,2 mΩ
System styku	MULTILAM
Sposób montażu	zaciskanie / crimping
Materiał styku	miedź cynowana
Materiał izolacji / obudowy	PA, klasa palności UL94-V0
Norma / certyfikacja	IEC 62852, TÜV Rheinland, UL6703 / CSA
Zastosowanie	instalacje fotowoltaiczne, połączenia DC w systemach PV</t>
  </si>
  <si>
    <t>C72BLS066420CCTWH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</si>
</sst>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rgb="FF000000"/>
      <name val="Aptos Narrow"/>
      <scheme val="minor"/>
    </font>
    <font>
      <sz val="11"/>
      <color rgb="FF000000"/>
      <name val="Calibri"/>
    </font>
    <font>
      <u/>
      <sz val="11"/>
      <color rgb="FF467886"/>
      <name val="Aptos Narrow"/>
    </font>
    <font>
      <sz val="10"/>
      <color rgb="FF000000"/>
      <name val="Arial"/>
    </font>
    <font>
      <sz val="11"/>
      <color theme="1"/>
      <name val="Calibri"/>
    </font>
    <font>
      <sz val="11"/>
      <color rgb="FF000000"/>
      <name val="Aptos Narrow"/>
    </font>
    <font>
      <sz val="11"/>
      <color rgb="FF000000"/>
      <name val="Arial"/>
    </font>
    <font>
      <sz val="11"/>
      <color rgb="FF303030"/>
      <name val="Calibri"/>
    </font>
    <font>
      <u/>
      <sz val="11"/>
      <color rgb="FF000000"/>
      <name val="Calibri"/>
    </font>
    <font>
      <sz val="11"/>
      <color theme="1"/>
      <name val="Calibri"/>
    </font>
    <font>
      <u/>
      <sz val="11"/>
      <color rgb="FF0000FF"/>
      <name val="Calibri"/>
    </font>
    <font>
      <u/>
      <sz val="11"/>
      <color rgb="FF467886"/>
      <name val="Aptos Narrow"/>
    </font>
    <font>
      <b/>
      <sz val="11"/>
      <color rgb="FF000000"/>
      <name val="Calibri"/>
      <family val="2"/>
      <charset val="238"/>
    </font>
    <font>
      <b/>
      <sz val="11"/>
      <color rgb="FF000000"/>
      <name val="Aptos Narrow"/>
      <family val="2"/>
      <scheme val="minor"/>
    </font>
    <font>
      <u/>
      <sz val="11"/>
      <color theme="10"/>
      <name val="Aptos Narrow"/>
      <scheme val="minor"/>
    </font>
    <font>
      <sz val="11"/>
      <color rgb="FF9C0006"/>
      <name val="Aptos Narrow"/>
      <family val="2"/>
      <charset val="238"/>
      <scheme val="minor"/>
    </font>
  </fonts>
  <fills count="6">
    <fill>
      <patternFill patternType="none"/>
    </fill>
    <fill>
      <patternFill patternType="gray125"/>
    </fill>
    <fill>
      <patternFill patternType="solid">
        <fgColor rgb="FF00B050"/>
        <bgColor rgb="FF00B050"/>
      </patternFill>
    </fill>
    <fill>
      <patternFill patternType="solid">
        <fgColor rgb="FFFFFF00"/>
        <bgColor rgb="FFFFFF00"/>
      </patternFill>
    </fill>
    <fill>
      <patternFill patternType="solid">
        <fgColor rgb="FFFFFFFF"/>
        <bgColor rgb="FFFFFFFF"/>
      </patternFill>
    </fill>
    <fill>
      <patternFill patternType="solid">
        <fgColor rgb="FFFFC7CE"/>
      </patternFill>
    </fill>
  </fills>
  <borders count="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4" fillId="0" borderId="0" applyNumberFormat="0" applyFill="0" applyBorder="0" applyAlignment="0" applyProtection="0"/>
    <xf numFmtId="0" fontId="15" fillId="5" borderId="0" applyNumberFormat="0" applyBorder="0" applyAlignment="0" applyProtection="0"/>
  </cellStyleXfs>
  <cellXfs count="66">
    <xf numFmtId="0" fontId="0" fillId="0" borderId="0" xfId="0"/>
    <xf numFmtId="0" fontId="1" fillId="2" borderId="2" xfId="0" applyFont="1" applyFill="1" applyBorder="1" applyAlignment="1">
      <alignment horizontal="center"/>
    </xf>
    <xf numFmtId="1" fontId="1" fillId="2" borderId="2" xfId="0" applyNumberFormat="1" applyFont="1" applyFill="1" applyBorder="1" applyAlignment="1">
      <alignment horizontal="left"/>
    </xf>
    <xf numFmtId="1" fontId="1" fillId="0" borderId="2" xfId="0" applyNumberFormat="1" applyFont="1" applyBorder="1" applyAlignment="1">
      <alignment horizontal="left"/>
    </xf>
    <xf numFmtId="0" fontId="1" fillId="0" borderId="2" xfId="0" applyFont="1" applyBorder="1"/>
    <xf numFmtId="1" fontId="1" fillId="0" borderId="2" xfId="0" applyNumberFormat="1" applyFont="1" applyBorder="1" applyAlignment="1">
      <alignment horizontal="left" vertical="center"/>
    </xf>
    <xf numFmtId="2" fontId="1" fillId="0" borderId="2" xfId="0" applyNumberFormat="1" applyFont="1" applyBorder="1"/>
    <xf numFmtId="2" fontId="1" fillId="3" borderId="0" xfId="0" applyNumberFormat="1" applyFont="1" applyFill="1" applyAlignment="1">
      <alignment horizontal="right"/>
    </xf>
    <xf numFmtId="0" fontId="1" fillId="0" borderId="2" xfId="0" applyFont="1" applyBorder="1" applyAlignment="1">
      <alignment horizontal="center"/>
    </xf>
    <xf numFmtId="0" fontId="1" fillId="0" borderId="0" xfId="0" applyFont="1"/>
    <xf numFmtId="0" fontId="1" fillId="2" borderId="2" xfId="0" applyFont="1" applyFill="1" applyBorder="1"/>
    <xf numFmtId="0" fontId="1" fillId="0" borderId="2" xfId="0" applyFont="1" applyBorder="1" applyAlignment="1">
      <alignment horizontal="left"/>
    </xf>
    <xf numFmtId="9" fontId="1" fillId="0" borderId="2" xfId="0" applyNumberFormat="1" applyFont="1" applyBorder="1" applyAlignment="1">
      <alignment horizontal="left" vertical="center"/>
    </xf>
    <xf numFmtId="2" fontId="1" fillId="0" borderId="0" xfId="0" applyNumberFormat="1" applyFont="1" applyAlignment="1">
      <alignment horizontal="right"/>
    </xf>
    <xf numFmtId="0" fontId="1" fillId="0" borderId="2" xfId="0" applyFont="1" applyBorder="1" applyAlignment="1">
      <alignment horizontal="left" vertical="center"/>
    </xf>
    <xf numFmtId="0" fontId="1" fillId="3" borderId="2" xfId="0" applyFont="1" applyFill="1" applyBorder="1" applyAlignment="1">
      <alignment horizontal="left"/>
    </xf>
    <xf numFmtId="0" fontId="1" fillId="3" borderId="2" xfId="0" applyFont="1" applyFill="1" applyBorder="1"/>
    <xf numFmtId="0" fontId="2" fillId="0" borderId="2" xfId="0" applyFont="1" applyBorder="1"/>
    <xf numFmtId="0" fontId="1" fillId="2" borderId="2" xfId="0" applyFont="1" applyFill="1" applyBorder="1" applyAlignment="1">
      <alignment vertical="center"/>
    </xf>
    <xf numFmtId="0" fontId="1" fillId="2" borderId="0" xfId="0" applyFont="1" applyFill="1" applyAlignment="1">
      <alignment horizontal="center"/>
    </xf>
    <xf numFmtId="0" fontId="3" fillId="2" borderId="2" xfId="0" applyFont="1" applyFill="1" applyBorder="1"/>
    <xf numFmtId="0" fontId="3" fillId="3" borderId="2" xfId="0" applyFont="1" applyFill="1" applyBorder="1"/>
    <xf numFmtId="0" fontId="3" fillId="0" borderId="2" xfId="0" applyFont="1" applyBorder="1"/>
    <xf numFmtId="0" fontId="3" fillId="3" borderId="2" xfId="0" applyFont="1" applyFill="1" applyBorder="1" applyAlignment="1">
      <alignment horizontal="left" vertical="center"/>
    </xf>
    <xf numFmtId="49" fontId="1" fillId="2" borderId="2" xfId="0" applyNumberFormat="1" applyFont="1" applyFill="1" applyBorder="1" applyAlignment="1">
      <alignment horizontal="left"/>
    </xf>
    <xf numFmtId="49" fontId="1" fillId="0" borderId="2" xfId="0" applyNumberFormat="1" applyFont="1" applyBorder="1" applyAlignment="1">
      <alignment horizontal="left"/>
    </xf>
    <xf numFmtId="49" fontId="1" fillId="2" borderId="0" xfId="0" applyNumberFormat="1" applyFont="1" applyFill="1" applyAlignment="1">
      <alignment horizontal="left"/>
    </xf>
    <xf numFmtId="2" fontId="1" fillId="0" borderId="1" xfId="0" applyNumberFormat="1" applyFont="1" applyBorder="1"/>
    <xf numFmtId="0" fontId="1" fillId="0" borderId="1" xfId="0" applyFont="1" applyBorder="1" applyAlignment="1">
      <alignment horizontal="center"/>
    </xf>
    <xf numFmtId="0" fontId="4" fillId="3" borderId="2" xfId="0" applyFont="1" applyFill="1" applyBorder="1" applyAlignment="1">
      <alignment horizontal="center"/>
    </xf>
    <xf numFmtId="0" fontId="4" fillId="4" borderId="2" xfId="0" applyFont="1" applyFill="1" applyBorder="1" applyAlignment="1">
      <alignment horizontal="left"/>
    </xf>
    <xf numFmtId="4" fontId="1" fillId="0" borderId="2" xfId="0" applyNumberFormat="1" applyFont="1" applyBorder="1"/>
    <xf numFmtId="0" fontId="5" fillId="2" borderId="2" xfId="0" applyFont="1" applyFill="1" applyBorder="1"/>
    <xf numFmtId="0" fontId="6" fillId="2" borderId="2" xfId="0" applyFont="1" applyFill="1" applyBorder="1"/>
    <xf numFmtId="1" fontId="7" fillId="2" borderId="2" xfId="0" applyNumberFormat="1" applyFont="1" applyFill="1" applyBorder="1" applyAlignment="1">
      <alignment horizontal="left"/>
    </xf>
    <xf numFmtId="1" fontId="7" fillId="0" borderId="2" xfId="0" applyNumberFormat="1" applyFont="1" applyBorder="1" applyAlignment="1">
      <alignment horizontal="left"/>
    </xf>
    <xf numFmtId="0" fontId="7" fillId="0" borderId="2" xfId="0" applyFont="1" applyBorder="1" applyAlignment="1">
      <alignment vertical="center" wrapText="1"/>
    </xf>
    <xf numFmtId="1" fontId="7" fillId="0" borderId="2" xfId="0" applyNumberFormat="1" applyFont="1" applyBorder="1" applyAlignment="1">
      <alignment horizontal="left" vertical="center"/>
    </xf>
    <xf numFmtId="0" fontId="8" fillId="0" borderId="2" xfId="0" applyFont="1" applyBorder="1" applyAlignment="1">
      <alignment horizontal="center" vertical="top" wrapText="1" readingOrder="1"/>
    </xf>
    <xf numFmtId="1" fontId="9" fillId="2" borderId="2" xfId="0" applyNumberFormat="1" applyFont="1" applyFill="1" applyBorder="1" applyAlignment="1">
      <alignment horizontal="left"/>
    </xf>
    <xf numFmtId="1" fontId="9" fillId="0" borderId="2" xfId="0" applyNumberFormat="1" applyFont="1" applyBorder="1" applyAlignment="1">
      <alignment horizontal="left"/>
    </xf>
    <xf numFmtId="2" fontId="9" fillId="0" borderId="2" xfId="0" applyNumberFormat="1" applyFont="1" applyBorder="1" applyAlignment="1">
      <alignment horizontal="right"/>
    </xf>
    <xf numFmtId="0" fontId="1" fillId="0" borderId="2" xfId="0" applyFont="1" applyBorder="1" applyAlignment="1">
      <alignment vertical="center" wrapText="1"/>
    </xf>
    <xf numFmtId="0" fontId="9" fillId="0" borderId="2" xfId="0" applyFont="1" applyBorder="1" applyAlignment="1">
      <alignment vertical="center" wrapText="1"/>
    </xf>
    <xf numFmtId="1" fontId="9" fillId="0" borderId="2" xfId="0" applyNumberFormat="1" applyFont="1" applyBorder="1" applyAlignment="1">
      <alignment horizontal="left" vertical="center"/>
    </xf>
    <xf numFmtId="2" fontId="9" fillId="0" borderId="2" xfId="0" applyNumberFormat="1" applyFont="1" applyBorder="1"/>
    <xf numFmtId="2" fontId="9" fillId="0" borderId="2" xfId="0" applyNumberFormat="1" applyFont="1" applyBorder="1" applyAlignment="1">
      <alignment horizontal="right" vertical="center" wrapText="1"/>
    </xf>
    <xf numFmtId="0" fontId="9" fillId="0" borderId="0" xfId="0" applyFont="1" applyAlignment="1">
      <alignment vertical="center" wrapText="1"/>
    </xf>
    <xf numFmtId="0" fontId="10" fillId="0" borderId="2" xfId="0" applyFont="1" applyBorder="1" applyAlignment="1">
      <alignment horizontal="center" vertical="top" wrapText="1" readingOrder="1"/>
    </xf>
    <xf numFmtId="0" fontId="9" fillId="0" borderId="2" xfId="0" applyFont="1" applyBorder="1" applyAlignment="1">
      <alignment horizontal="center"/>
    </xf>
    <xf numFmtId="0" fontId="11" fillId="0" borderId="2" xfId="0" applyFont="1" applyBorder="1" applyAlignment="1">
      <alignment vertical="center"/>
    </xf>
    <xf numFmtId="0" fontId="1" fillId="2" borderId="2" xfId="0" applyFont="1" applyFill="1" applyBorder="1" applyAlignment="1">
      <alignment horizontal="left"/>
    </xf>
    <xf numFmtId="1" fontId="1" fillId="3" borderId="2" xfId="0" applyNumberFormat="1" applyFont="1" applyFill="1" applyBorder="1" applyAlignment="1">
      <alignment horizontal="left"/>
    </xf>
    <xf numFmtId="2" fontId="1" fillId="4" borderId="2" xfId="0" applyNumberFormat="1" applyFont="1" applyFill="1" applyBorder="1"/>
    <xf numFmtId="1" fontId="1" fillId="2" borderId="2" xfId="0" applyNumberFormat="1" applyFont="1" applyFill="1" applyBorder="1"/>
    <xf numFmtId="1" fontId="1" fillId="0" borderId="2" xfId="0" applyNumberFormat="1" applyFont="1" applyBorder="1"/>
    <xf numFmtId="0" fontId="1" fillId="0" borderId="2" xfId="0" applyFont="1" applyBorder="1" applyAlignment="1">
      <alignment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left" vertical="center"/>
    </xf>
    <xf numFmtId="2" fontId="12" fillId="0" borderId="1" xfId="0" applyNumberFormat="1" applyFont="1" applyBorder="1" applyAlignment="1">
      <alignment horizontal="center" vertical="center"/>
    </xf>
    <xf numFmtId="0" fontId="12" fillId="0" borderId="1" xfId="0" applyFont="1" applyBorder="1" applyAlignment="1">
      <alignment horizontal="center" vertical="center" wrapText="1" readingOrder="1"/>
    </xf>
    <xf numFmtId="0" fontId="13" fillId="0" borderId="0" xfId="0" applyFont="1"/>
    <xf numFmtId="0" fontId="15" fillId="5" borderId="2" xfId="2" applyBorder="1" applyAlignment="1">
      <alignment horizontal="center"/>
    </xf>
    <xf numFmtId="0" fontId="0" fillId="0" borderId="0" xfId="0" applyAlignment="1">
      <alignment wrapText="1"/>
    </xf>
    <xf numFmtId="0" fontId="14" fillId="0" borderId="0" xfId="1"/>
  </cellXfs>
  <cellStyles count="3">
    <cellStyle name="Hiperłącze" xfId="1" builtinId="8"/>
    <cellStyle name="Normalny" xfId="0" builtinId="0"/>
    <cellStyle name="Zły" xfId="2" builtinId="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2" Type="http://schemas.openxmlformats.org/officeDocument/2006/relationships/calcChain" Target="calcChain.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langelukaszuk.pl/czujnik-ruchu-obecnosci-steinel-is-2360-3-eco-fi-24m-max-2000w-ip54-230v-czarny" TargetMode="External"/><Relationship Id="rId13" Type="http://schemas.openxmlformats.org/officeDocument/2006/relationships/hyperlink" Target="https://www.simet.com.pl/produkty/puszka-podtynkowa-2x60-mm-gleboka-szeregowa-do-elektroniki/" TargetMode="External"/><Relationship Id="rId18" Type="http://schemas.openxmlformats.org/officeDocument/2006/relationships/hyperlink" Target="https://www.eaton.com/mdmfiles/PDM90660717/SG16012_L/1000x1000_300dpi" TargetMode="External"/><Relationship Id="rId26" Type="http://schemas.openxmlformats.org/officeDocument/2006/relationships/hyperlink" Target="https://www.twojaelektra.pl/img/228048/kabel-fotowoltaiczny-solarflex-x-h1z2z2-k-1x6qmm-c" TargetMode="External"/><Relationship Id="rId3" Type="http://schemas.openxmlformats.org/officeDocument/2006/relationships/hyperlink" Target="https://www.transfernow.net/dl/alkan" TargetMode="External"/><Relationship Id="rId21" Type="http://schemas.openxmlformats.org/officeDocument/2006/relationships/hyperlink" Target="https://www.etipolam.com.pl/media/eti/images/product_db/idents/001101216/en-GB/photo/001101216_Photo.webp" TargetMode="External"/><Relationship Id="rId7" Type="http://schemas.openxmlformats.org/officeDocument/2006/relationships/hyperlink" Target="https://langelukaszuk.pl/czujnik-ruchu-obecnosci-steinel-is-2360-3-eco-fi-24m-max-2000w-ip54-230v-bialy" TargetMode="External"/><Relationship Id="rId12" Type="http://schemas.openxmlformats.org/officeDocument/2006/relationships/hyperlink" Target="https://www.transfernow.net/dl/20260511XbNkotQ2" TargetMode="External"/><Relationship Id="rId17" Type="http://schemas.openxmlformats.org/officeDocument/2006/relationships/hyperlink" Target="https://www.eaton.com/mdmfiles/PDM103149180/240733_LDO/1000x1000_300dpi" TargetMode="External"/><Relationship Id="rId25" Type="http://schemas.openxmlformats.org/officeDocument/2006/relationships/hyperlink" Target="https://hoegert.com/wp-content/uploads/2021/09/EDGAR_HT5K279-1_1.eef3fc9a.jpg" TargetMode="External"/><Relationship Id="rId2" Type="http://schemas.openxmlformats.org/officeDocument/2006/relationships/hyperlink" Target="https://www.transfernow.net/dl/alkan" TargetMode="External"/><Relationship Id="rId16" Type="http://schemas.openxmlformats.org/officeDocument/2006/relationships/hyperlink" Target="https://www.eaton.com/mdmfiles/contentId/EP-501967_L/1000x1000_300dpi" TargetMode="External"/><Relationship Id="rId20" Type="http://schemas.openxmlformats.org/officeDocument/2006/relationships/hyperlink" Target="https://www.etipolam.com.pl/media/eti/images/product_db/idents/001101214/en-GB/photo/001101214_Photo.webp" TargetMode="External"/><Relationship Id="rId29" Type="http://schemas.openxmlformats.org/officeDocument/2006/relationships/hyperlink" Target="https://tse3.mm.bing.net/th/id/OIP.PIyGYQb2_qchwwHt1pbkkQHaHa?r=0&amp;w=474&amp;h=474&amp;c=7&amp;p=0" TargetMode="External"/><Relationship Id="rId1" Type="http://schemas.openxmlformats.org/officeDocument/2006/relationships/hyperlink" Target="https://www.transfernow.net/dl/alkan" TargetMode="External"/><Relationship Id="rId6" Type="http://schemas.openxmlformats.org/officeDocument/2006/relationships/hyperlink" Target="http://www.kanlux.pl/pl/39740" TargetMode="External"/><Relationship Id="rId11" Type="http://schemas.openxmlformats.org/officeDocument/2006/relationships/hyperlink" Target="https://www.transfernow.net/dl/20260511XbNkotQ2" TargetMode="External"/><Relationship Id="rId24" Type="http://schemas.openxmlformats.org/officeDocument/2006/relationships/hyperlink" Target="https://hoegert.com/wp-content/uploads/2021/09/HT5K284_1.93a0b3f6.png" TargetMode="External"/><Relationship Id="rId5" Type="http://schemas.openxmlformats.org/officeDocument/2006/relationships/hyperlink" Target="http://www.kanlux.pl/pl/45930" TargetMode="External"/><Relationship Id="rId15" Type="http://schemas.openxmlformats.org/officeDocument/2006/relationships/hyperlink" Target="https://www.simet.com.pl/produkty/puszka-do-pustych-scian-60-mm-gleboka-laczona/" TargetMode="External"/><Relationship Id="rId23" Type="http://schemas.openxmlformats.org/officeDocument/2006/relationships/hyperlink" Target="https://www.fif.com.pl/6484-large_default/przelacznik-automatyczny-psr-463-auto.jpg" TargetMode="External"/><Relationship Id="rId28" Type="http://schemas.openxmlformats.org/officeDocument/2006/relationships/hyperlink" Target="https://imgproxy.rawlplug.com/_/rt:fit/w:1296/h:736/g:ce/el:false/aHR0cHM6Ly9yYXdscGx1Zy5jb20vbWVkaWEvY2F0YWxvZy9wcm9kdWN0L2NhY2hlLzc0YzEwNTdmNzk5MWI0ZWRiMmJjN2JkYWE5NGRlOTMzL2YvMy9mM2UwZmU4MGRlYmJlNmZjMTdjODYyN2RhNTdjZGQ4MTM0ZDc2ZWZkXzg0NWI3N2JjNmI3MTllOWVmZjNlMzhhNGQ1OGY2NDFjNzFmN2NlODVfUl9QQ04xOF8yN18wMV9hX1IucHNkLndlYnA=" TargetMode="External"/><Relationship Id="rId10" Type="http://schemas.openxmlformats.org/officeDocument/2006/relationships/hyperlink" Target="https://www.transfernow.net/dl/20260511XbNkotQ2" TargetMode="External"/><Relationship Id="rId19" Type="http://schemas.openxmlformats.org/officeDocument/2006/relationships/hyperlink" Target="https://www.eaton.com/mdmfiles/PDM91438256/SG41812_L/1000x1000_300dpi" TargetMode="External"/><Relationship Id="rId4" Type="http://schemas.openxmlformats.org/officeDocument/2006/relationships/hyperlink" Target="http://www.kanlux.pl/pl/28997" TargetMode="External"/><Relationship Id="rId9" Type="http://schemas.openxmlformats.org/officeDocument/2006/relationships/hyperlink" Target="https://www.transfernow.net/dl/20260511XbNkotQ2" TargetMode="External"/><Relationship Id="rId14" Type="http://schemas.openxmlformats.org/officeDocument/2006/relationships/hyperlink" Target="https://www.simet.com.pl/produkty/puszka-podtynkowa-60-mm-gleboka-szeregowa-z-wkretami-2/" TargetMode="External"/><Relationship Id="rId22" Type="http://schemas.openxmlformats.org/officeDocument/2006/relationships/hyperlink" Target="https://www.etipolam.com.pl/media/eti/images/product_db/idents/002172406/en-GB/photo/002172406_Photo.webp" TargetMode="External"/><Relationship Id="rId27" Type="http://schemas.openxmlformats.org/officeDocument/2006/relationships/hyperlink" Target="https://sklep.elus.pl/img/33902/kabel-solarny-czerwony-do-instalacji-fotwoltaicz.jpg" TargetMode="External"/><Relationship Id="rId30" Type="http://schemas.openxmlformats.org/officeDocument/2006/relationships/hyperlink" Target="https://images.openai.com/static-rsc-4/FEdtaOITEuEi8FCtaDTQQzXQQ-P0E0iGo0WAhz7wALJd_CVP0fVWouFFl4TH5Op_etYK8l3KN4TYrdY9cMEuhG9rh_fXIdc4v7T3IGmH7d__tvbWAOnz__xSUVNE9sDuVB4xKZpslxgjr2_W1SnJO4Qu5KfN9D5w5oniV19qSh5v1NWUDS1UOtGb6N9zmgZm?purpose=fullsiz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G77"/>
  <sheetViews>
    <sheetView tabSelected="1" zoomScaleNormal="100" workbookViewId="0">
      <pane ySplit="1" topLeftCell="A2" activePane="bottomLeft" state="frozenSplit"/>
      <selection pane="bottomLeft" activeCell="D4" sqref="D4"/>
    </sheetView>
  </sheetViews>
  <sheetFormatPr defaultColWidth="12.5703125" defaultRowHeight="15" customHeight="1" x14ac:dyDescent="0.25"/>
  <cols>
    <col min="1" max="1" width="12.140625" bestFit="1" customWidth="1"/>
    <col min="2" max="2" width="18" bestFit="1" customWidth="1"/>
    <col min="3" max="3" width="26.7109375" bestFit="1" customWidth="1"/>
    <col min="4" max="4" width="23.5703125" bestFit="1" customWidth="1"/>
    <col min="5" max="5" width="10.5703125" bestFit="1" customWidth="1"/>
    <col min="6" max="6" width="101.28515625" bestFit="1" customWidth="1"/>
    <col min="7" max="7" width="15" bestFit="1" customWidth="1"/>
    <col min="8" max="8" width="20.140625" bestFit="1" customWidth="1"/>
    <col min="9" max="9" width="20.7109375" bestFit="1" customWidth="1"/>
    <col min="10" max="10" width="19.85546875" bestFit="1" customWidth="1"/>
    <col min="11" max="11" width="22.7109375" bestFit="1" customWidth="1"/>
    <col min="12" max="12" width="255.7109375" bestFit="1" customWidth="1"/>
    <col min="13" max="13" width="20.85546875" bestFit="1" customWidth="1"/>
    <col min="14" max="14" width="15" bestFit="1" customWidth="1"/>
    <col min="15" max="15" width="29" bestFit="1" customWidth="1"/>
    <col min="16" max="16" width="27.42578125" bestFit="1" customWidth="1"/>
    <col min="17" max="17" width="33.85546875" bestFit="1" customWidth="1"/>
    <col min="18" max="18" width="21.42578125" bestFit="1" customWidth="1"/>
    <col min="19" max="19" width="26.42578125" bestFit="1" customWidth="1"/>
    <col min="20" max="20" width="99.42578125" bestFit="1" customWidth="1"/>
    <col min="21" max="21" width="15.7109375" bestFit="1" customWidth="1"/>
    <col min="22" max="22" width="23.5703125" bestFit="1" customWidth="1"/>
    <col min="23" max="23" width="16.28515625" bestFit="1" customWidth="1"/>
    <col min="24" max="24" width="255.7109375" bestFit="1" customWidth="1"/>
    <col min="25" max="25" width="28.140625" bestFit="1" customWidth="1"/>
    <col min="26" max="27" width="255.7109375" bestFit="1" customWidth="1"/>
    <col min="28" max="28" width="34.42578125" bestFit="1" customWidth="1"/>
    <col min="29" max="29" width="22" bestFit="1" customWidth="1"/>
    <col min="30" max="30" width="63.140625" bestFit="1" customWidth="1"/>
    <col min="31" max="31" width="40.140625" bestFit="1" customWidth="1"/>
    <col min="32" max="32" width="22" bestFit="1" customWidth="1"/>
    <col min="33" max="33" width="29" bestFit="1" customWidth="1"/>
    <col min="34" max="34" width="24.85546875" bestFit="1" customWidth="1"/>
    <col min="35" max="35" width="20.85546875" bestFit="1" customWidth="1"/>
    <col min="36" max="37" width="18.28515625" bestFit="1" customWidth="1"/>
    <col min="38" max="38" width="29.42578125" bestFit="1" customWidth="1"/>
    <col min="39" max="39" width="21.140625" bestFit="1" customWidth="1"/>
    <col min="40" max="40" width="25.85546875" bestFit="1" customWidth="1"/>
    <col min="41" max="41" width="25.28515625" bestFit="1" customWidth="1"/>
    <col min="42" max="42" width="22" bestFit="1" customWidth="1"/>
    <col min="43" max="43" width="24.28515625" bestFit="1" customWidth="1"/>
    <col min="44" max="44" width="23" bestFit="1" customWidth="1"/>
    <col min="45" max="45" width="60.42578125" bestFit="1" customWidth="1"/>
    <col min="46" max="46" width="25.85546875" bestFit="1" customWidth="1"/>
    <col min="47" max="47" width="25.5703125" bestFit="1" customWidth="1"/>
    <col min="48" max="48" width="25.28515625" bestFit="1" customWidth="1"/>
    <col min="49" max="49" width="26.85546875" bestFit="1" customWidth="1"/>
    <col min="50" max="50" width="19.85546875" bestFit="1" customWidth="1"/>
    <col min="51" max="51" width="25.85546875" bestFit="1" customWidth="1"/>
    <col min="52" max="52" width="21.42578125" bestFit="1" customWidth="1"/>
    <col min="53" max="53" width="24.5703125" bestFit="1" customWidth="1"/>
    <col min="54" max="54" width="103" bestFit="1" customWidth="1"/>
    <col min="55" max="55" width="37.28515625" bestFit="1" customWidth="1"/>
    <col min="56" max="56" width="26.85546875" bestFit="1" customWidth="1"/>
    <col min="57" max="57" width="20.7109375" bestFit="1" customWidth="1"/>
    <col min="58" max="58" width="24" bestFit="1" customWidth="1"/>
    <col min="59" max="59" width="31.28515625" bestFit="1" customWidth="1"/>
    <col min="60" max="60" width="30.5703125" bestFit="1" customWidth="1"/>
    <col min="61" max="61" width="23.5703125" bestFit="1" customWidth="1"/>
    <col min="62" max="62" width="34.7109375" bestFit="1" customWidth="1"/>
    <col min="63" max="63" width="33.140625" bestFit="1" customWidth="1"/>
    <col min="64" max="64" width="26.42578125" bestFit="1" customWidth="1"/>
    <col min="65" max="65" width="19.85546875" bestFit="1" customWidth="1"/>
    <col min="66" max="66" width="23.5703125" bestFit="1" customWidth="1"/>
    <col min="67" max="67" width="30.28515625" bestFit="1" customWidth="1"/>
    <col min="68" max="69" width="255.7109375" bestFit="1" customWidth="1"/>
    <col min="70" max="70" width="34.42578125" bestFit="1" customWidth="1"/>
    <col min="71" max="71" width="23.7109375" bestFit="1" customWidth="1"/>
    <col min="72" max="72" width="26.85546875" bestFit="1" customWidth="1"/>
    <col min="73" max="73" width="32.140625" bestFit="1" customWidth="1"/>
    <col min="74" max="74" width="255.7109375" bestFit="1" customWidth="1"/>
    <col min="75" max="75" width="113.7109375" bestFit="1" customWidth="1"/>
    <col min="76" max="76" width="23" bestFit="1" customWidth="1"/>
    <col min="77" max="77" width="22.7109375" bestFit="1" customWidth="1"/>
    <col min="78" max="78" width="25.5703125" bestFit="1" customWidth="1"/>
    <col min="79" max="79" width="20.42578125" bestFit="1" customWidth="1"/>
    <col min="80" max="80" width="30" bestFit="1" customWidth="1"/>
    <col min="81" max="81" width="31.5703125" bestFit="1" customWidth="1"/>
    <col min="82" max="82" width="21.140625" bestFit="1" customWidth="1"/>
    <col min="83" max="83" width="15.42578125" bestFit="1" customWidth="1"/>
    <col min="84" max="84" width="255.7109375" bestFit="1" customWidth="1"/>
    <col min="85" max="85" width="26.85546875" bestFit="1" customWidth="1"/>
    <col min="105" max="105" width="12.5703125" customWidth="1"/>
  </cols>
  <sheetData>
    <row r="1" spans="1:85" ht="38.25" customHeight="1" x14ac:dyDescent="0.25">
      <c r="A1" s="57" t="s">
        <v>0</v>
      </c>
      <c r="B1" s="58" t="s">
        <v>1</v>
      </c>
      <c r="C1" s="58" t="s">
        <v>2</v>
      </c>
      <c r="D1" s="58" t="s">
        <v>3</v>
      </c>
      <c r="E1" s="59" t="s">
        <v>4</v>
      </c>
      <c r="F1" s="59" t="s">
        <v>5</v>
      </c>
      <c r="G1" s="59" t="s">
        <v>6</v>
      </c>
      <c r="H1" s="60" t="s">
        <v>7</v>
      </c>
      <c r="I1" s="58" t="s">
        <v>8</v>
      </c>
      <c r="J1" s="58" t="s">
        <v>9</v>
      </c>
      <c r="K1" s="58" t="s">
        <v>10</v>
      </c>
      <c r="L1" s="58" t="s">
        <v>11</v>
      </c>
      <c r="M1" s="61" t="s">
        <v>12</v>
      </c>
      <c r="N1" s="58" t="s">
        <v>13</v>
      </c>
      <c r="O1" s="62" t="s">
        <v>221</v>
      </c>
      <c r="P1" s="62" t="s">
        <v>222</v>
      </c>
      <c r="Q1" s="62" t="s">
        <v>223</v>
      </c>
      <c r="R1" s="62" t="s">
        <v>224</v>
      </c>
      <c r="S1" s="62" t="s">
        <v>225</v>
      </c>
      <c r="T1" s="62" t="s">
        <v>226</v>
      </c>
      <c r="U1" s="62" t="s">
        <v>227</v>
      </c>
      <c r="V1" s="62" t="s">
        <v>228</v>
      </c>
      <c r="W1" s="62" t="s">
        <v>229</v>
      </c>
      <c r="X1" s="62" t="s">
        <v>230</v>
      </c>
      <c r="Y1" s="62" t="s">
        <v>231</v>
      </c>
      <c r="Z1" s="62" t="s">
        <v>232</v>
      </c>
      <c r="AA1" s="62" t="s">
        <v>233</v>
      </c>
      <c r="AB1" s="62" t="s">
        <v>234</v>
      </c>
      <c r="AC1" s="62" t="s">
        <v>235</v>
      </c>
      <c r="AD1" s="62" t="s">
        <v>236</v>
      </c>
      <c r="AE1" s="62" t="s">
        <v>237</v>
      </c>
      <c r="AF1" s="62" t="s">
        <v>238</v>
      </c>
      <c r="AG1" s="62" t="s">
        <v>239</v>
      </c>
      <c r="AH1" s="62" t="s">
        <v>240</v>
      </c>
      <c r="AI1" s="62" t="s">
        <v>241</v>
      </c>
      <c r="AJ1" s="62" t="s">
        <v>242</v>
      </c>
      <c r="AK1" s="62" t="s">
        <v>243</v>
      </c>
      <c r="AL1" s="62" t="s">
        <v>244</v>
      </c>
      <c r="AM1" s="62" t="s">
        <v>245</v>
      </c>
      <c r="AN1" s="62" t="s">
        <v>246</v>
      </c>
      <c r="AO1" s="62" t="s">
        <v>247</v>
      </c>
      <c r="AP1" s="62" t="s">
        <v>248</v>
      </c>
      <c r="AQ1" s="62" t="s">
        <v>249</v>
      </c>
      <c r="AR1" s="62" t="s">
        <v>250</v>
      </c>
      <c r="AS1" s="62" t="s">
        <v>251</v>
      </c>
      <c r="AT1" s="62" t="s">
        <v>252</v>
      </c>
      <c r="AU1" s="62" t="s">
        <v>253</v>
      </c>
      <c r="AV1" s="62" t="s">
        <v>254</v>
      </c>
      <c r="AW1" s="62" t="s">
        <v>255</v>
      </c>
      <c r="AX1" s="62" t="s">
        <v>256</v>
      </c>
      <c r="AY1" s="62" t="s">
        <v>257</v>
      </c>
      <c r="AZ1" s="62" t="s">
        <v>258</v>
      </c>
      <c r="BA1" s="62" t="s">
        <v>259</v>
      </c>
      <c r="BB1" s="62" t="s">
        <v>260</v>
      </c>
      <c r="BC1" s="62" t="s">
        <v>261</v>
      </c>
      <c r="BD1" s="62" t="s">
        <v>262</v>
      </c>
      <c r="BE1" s="62" t="s">
        <v>263</v>
      </c>
      <c r="BF1" s="62" t="s">
        <v>264</v>
      </c>
      <c r="BG1" s="62" t="s">
        <v>265</v>
      </c>
      <c r="BH1" s="62" t="s">
        <v>266</v>
      </c>
      <c r="BI1" s="62" t="s">
        <v>267</v>
      </c>
      <c r="BJ1" s="62" t="s">
        <v>268</v>
      </c>
      <c r="BK1" s="62" t="s">
        <v>269</v>
      </c>
      <c r="BL1" s="62" t="s">
        <v>270</v>
      </c>
      <c r="BM1" s="62" t="s">
        <v>271</v>
      </c>
      <c r="BN1" s="62" t="s">
        <v>272</v>
      </c>
      <c r="BO1" s="62" t="s">
        <v>273</v>
      </c>
      <c r="BP1" s="62" t="s">
        <v>274</v>
      </c>
      <c r="BQ1" s="62" t="s">
        <v>275</v>
      </c>
      <c r="BR1" s="62" t="s">
        <v>276</v>
      </c>
      <c r="BS1" s="62" t="s">
        <v>277</v>
      </c>
      <c r="BT1" s="62" t="s">
        <v>278</v>
      </c>
      <c r="BU1" s="62" t="s">
        <v>279</v>
      </c>
      <c r="BV1" s="62" t="s">
        <v>280</v>
      </c>
      <c r="BW1" s="62" t="s">
        <v>281</v>
      </c>
      <c r="BX1" s="62" t="s">
        <v>282</v>
      </c>
      <c r="BY1" s="62" t="s">
        <v>283</v>
      </c>
      <c r="BZ1" s="62" t="s">
        <v>284</v>
      </c>
      <c r="CA1" s="62" t="s">
        <v>285</v>
      </c>
      <c r="CB1" s="62" t="s">
        <v>286</v>
      </c>
      <c r="CC1" s="62" t="s">
        <v>287</v>
      </c>
      <c r="CD1" s="62" t="s">
        <v>288</v>
      </c>
      <c r="CE1" s="62" t="s">
        <v>289</v>
      </c>
      <c r="CF1" s="62" t="s">
        <v>290</v>
      </c>
      <c r="CG1" s="62" t="s">
        <v>788</v>
      </c>
    </row>
    <row r="2" spans="1:85" ht="15" customHeight="1" x14ac:dyDescent="0.25">
      <c r="A2" s="1" t="s">
        <v>14</v>
      </c>
      <c r="B2" s="1" t="s">
        <v>15</v>
      </c>
      <c r="C2" s="2" t="s">
        <v>16</v>
      </c>
      <c r="D2" s="2" t="s">
        <v>17</v>
      </c>
      <c r="E2" s="3" t="s">
        <v>18</v>
      </c>
      <c r="F2" s="4" t="s">
        <v>19</v>
      </c>
      <c r="G2" s="5">
        <v>5902138404475</v>
      </c>
      <c r="H2" s="6">
        <v>83.6</v>
      </c>
      <c r="I2" s="6">
        <f t="shared" ref="I2:I77" si="0">H2*1.23</f>
        <v>102.82799999999999</v>
      </c>
      <c r="J2" s="6">
        <v>109.9</v>
      </c>
      <c r="K2" s="7">
        <v>123.9</v>
      </c>
      <c r="L2" s="4"/>
      <c r="M2" s="8" t="s">
        <v>20</v>
      </c>
      <c r="N2" s="8"/>
      <c r="O2" t="s">
        <v>291</v>
      </c>
      <c r="P2" t="s">
        <v>292</v>
      </c>
      <c r="Q2" t="s">
        <v>14</v>
      </c>
      <c r="R2" t="s">
        <v>15</v>
      </c>
      <c r="S2" t="s">
        <v>17</v>
      </c>
      <c r="T2" t="s">
        <v>19</v>
      </c>
      <c r="V2">
        <v>83.6</v>
      </c>
      <c r="Y2" t="s">
        <v>20</v>
      </c>
      <c r="Z2" t="s">
        <v>293</v>
      </c>
      <c r="AA2" t="s">
        <v>19</v>
      </c>
      <c r="AB2" t="s">
        <v>294</v>
      </c>
      <c r="AD2" t="s">
        <v>295</v>
      </c>
      <c r="AE2" t="s">
        <v>296</v>
      </c>
      <c r="AF2" t="s">
        <v>297</v>
      </c>
      <c r="AH2" t="s">
        <v>298</v>
      </c>
      <c r="AJ2" t="s">
        <v>299</v>
      </c>
      <c r="AK2" t="s">
        <v>300</v>
      </c>
      <c r="AL2" t="s">
        <v>301</v>
      </c>
      <c r="AM2" t="s">
        <v>302</v>
      </c>
      <c r="AN2" t="s">
        <v>15</v>
      </c>
      <c r="AO2" t="s">
        <v>303</v>
      </c>
      <c r="AQ2" t="s">
        <v>304</v>
      </c>
      <c r="AS2" t="s">
        <v>305</v>
      </c>
      <c r="AT2" t="s">
        <v>306</v>
      </c>
      <c r="AU2" t="s">
        <v>307</v>
      </c>
      <c r="AY2" t="s">
        <v>308</v>
      </c>
      <c r="BB2" t="s">
        <v>309</v>
      </c>
      <c r="BP2" t="s">
        <v>310</v>
      </c>
      <c r="BQ2" t="s">
        <v>311</v>
      </c>
      <c r="BR2" t="s">
        <v>294</v>
      </c>
      <c r="BS2" t="s">
        <v>312</v>
      </c>
      <c r="BV2" t="s">
        <v>19</v>
      </c>
      <c r="BW2" t="s">
        <v>313</v>
      </c>
      <c r="BX2" t="s">
        <v>314</v>
      </c>
      <c r="BY2">
        <v>79</v>
      </c>
      <c r="BZ2" t="s">
        <v>315</v>
      </c>
      <c r="CB2" t="s">
        <v>314</v>
      </c>
      <c r="CF2" t="s">
        <v>316</v>
      </c>
    </row>
    <row r="3" spans="1:85" ht="15" customHeight="1" x14ac:dyDescent="0.25">
      <c r="A3" s="1" t="s">
        <v>14</v>
      </c>
      <c r="B3" s="1" t="s">
        <v>15</v>
      </c>
      <c r="C3" s="2" t="s">
        <v>21</v>
      </c>
      <c r="D3" s="2" t="s">
        <v>22</v>
      </c>
      <c r="E3" s="3" t="s">
        <v>18</v>
      </c>
      <c r="F3" s="4" t="s">
        <v>23</v>
      </c>
      <c r="G3" s="5">
        <v>5900280999160</v>
      </c>
      <c r="H3" s="6">
        <v>119.6</v>
      </c>
      <c r="I3" s="6">
        <f t="shared" si="0"/>
        <v>147.108</v>
      </c>
      <c r="J3" s="6">
        <v>149.9</v>
      </c>
      <c r="K3" s="7">
        <v>169.9</v>
      </c>
      <c r="L3" s="4"/>
      <c r="M3" s="8" t="s">
        <v>20</v>
      </c>
      <c r="N3" s="8"/>
      <c r="O3" t="s">
        <v>291</v>
      </c>
      <c r="P3" t="s">
        <v>292</v>
      </c>
      <c r="Q3" t="s">
        <v>14</v>
      </c>
      <c r="R3" t="s">
        <v>15</v>
      </c>
      <c r="S3" t="s">
        <v>22</v>
      </c>
      <c r="T3" t="s">
        <v>23</v>
      </c>
      <c r="U3">
        <v>5900280999160</v>
      </c>
      <c r="V3">
        <v>119.6</v>
      </c>
      <c r="Y3" t="s">
        <v>20</v>
      </c>
      <c r="Z3" t="s">
        <v>317</v>
      </c>
      <c r="AA3" t="s">
        <v>23</v>
      </c>
      <c r="AB3" t="s">
        <v>318</v>
      </c>
      <c r="AD3" t="s">
        <v>319</v>
      </c>
      <c r="AF3" t="s">
        <v>320</v>
      </c>
      <c r="AG3" t="s">
        <v>320</v>
      </c>
      <c r="AH3" t="s">
        <v>321</v>
      </c>
      <c r="AJ3" t="s">
        <v>322</v>
      </c>
      <c r="AL3" t="s">
        <v>323</v>
      </c>
      <c r="AN3" t="s">
        <v>15</v>
      </c>
      <c r="AO3" t="s">
        <v>324</v>
      </c>
      <c r="AP3" t="s">
        <v>325</v>
      </c>
      <c r="AS3" t="s">
        <v>326</v>
      </c>
      <c r="AY3" t="s">
        <v>327</v>
      </c>
      <c r="BA3" t="s">
        <v>328</v>
      </c>
      <c r="BB3" t="s">
        <v>329</v>
      </c>
      <c r="BL3" t="s">
        <v>325</v>
      </c>
      <c r="BP3" t="s">
        <v>330</v>
      </c>
      <c r="BQ3" t="s">
        <v>331</v>
      </c>
      <c r="BR3" t="s">
        <v>318</v>
      </c>
      <c r="BS3" t="s">
        <v>312</v>
      </c>
      <c r="BV3" t="s">
        <v>23</v>
      </c>
      <c r="BW3" t="s">
        <v>332</v>
      </c>
      <c r="BX3" t="s">
        <v>314</v>
      </c>
      <c r="BY3">
        <v>79</v>
      </c>
      <c r="BZ3" t="s">
        <v>315</v>
      </c>
      <c r="CB3" t="s">
        <v>314</v>
      </c>
      <c r="CF3" t="s">
        <v>333</v>
      </c>
    </row>
    <row r="4" spans="1:85" ht="15" customHeight="1" x14ac:dyDescent="0.25">
      <c r="A4" s="1" t="s">
        <v>14</v>
      </c>
      <c r="B4" s="1" t="s">
        <v>15</v>
      </c>
      <c r="C4" s="2" t="s">
        <v>24</v>
      </c>
      <c r="D4" s="2" t="s">
        <v>819</v>
      </c>
      <c r="E4" s="3" t="s">
        <v>18</v>
      </c>
      <c r="F4" s="4" t="s">
        <v>26</v>
      </c>
      <c r="G4" s="5">
        <v>5900280997210</v>
      </c>
      <c r="H4" s="6">
        <v>94.62</v>
      </c>
      <c r="I4" s="6">
        <f t="shared" si="0"/>
        <v>116.38260000000001</v>
      </c>
      <c r="J4" s="6">
        <v>119.9</v>
      </c>
      <c r="K4" s="7">
        <v>129.9</v>
      </c>
      <c r="L4" s="4"/>
      <c r="M4" s="8" t="s">
        <v>20</v>
      </c>
      <c r="N4" s="8"/>
      <c r="O4" t="s">
        <v>291</v>
      </c>
      <c r="P4" t="s">
        <v>292</v>
      </c>
      <c r="Q4" t="s">
        <v>14</v>
      </c>
      <c r="R4" t="s">
        <v>15</v>
      </c>
      <c r="S4" t="s">
        <v>25</v>
      </c>
      <c r="T4" t="s">
        <v>26</v>
      </c>
      <c r="U4">
        <v>5900280997210</v>
      </c>
      <c r="V4">
        <v>94.62</v>
      </c>
      <c r="Y4" t="s">
        <v>20</v>
      </c>
      <c r="Z4" t="s">
        <v>334</v>
      </c>
      <c r="AA4" t="s">
        <v>26</v>
      </c>
      <c r="AB4" t="s">
        <v>335</v>
      </c>
      <c r="AD4" t="s">
        <v>336</v>
      </c>
      <c r="AE4" t="s">
        <v>296</v>
      </c>
      <c r="AF4" t="s">
        <v>320</v>
      </c>
      <c r="AG4" t="s">
        <v>320</v>
      </c>
      <c r="AH4" t="s">
        <v>337</v>
      </c>
      <c r="AJ4" t="s">
        <v>338</v>
      </c>
      <c r="AK4" t="s">
        <v>339</v>
      </c>
      <c r="AL4" t="s">
        <v>340</v>
      </c>
      <c r="AM4" t="s">
        <v>341</v>
      </c>
      <c r="AN4" t="s">
        <v>15</v>
      </c>
      <c r="AO4" t="s">
        <v>342</v>
      </c>
      <c r="AQ4" t="s">
        <v>343</v>
      </c>
      <c r="AS4" t="s">
        <v>344</v>
      </c>
      <c r="AT4" t="s">
        <v>344</v>
      </c>
      <c r="AU4" t="s">
        <v>345</v>
      </c>
      <c r="AY4" t="s">
        <v>308</v>
      </c>
      <c r="BB4" t="s">
        <v>346</v>
      </c>
      <c r="BP4" t="s">
        <v>347</v>
      </c>
      <c r="BQ4" t="s">
        <v>348</v>
      </c>
      <c r="BR4" t="s">
        <v>335</v>
      </c>
      <c r="BS4" t="s">
        <v>312</v>
      </c>
      <c r="BV4" t="s">
        <v>26</v>
      </c>
      <c r="BW4" t="s">
        <v>349</v>
      </c>
      <c r="BX4" t="s">
        <v>314</v>
      </c>
      <c r="BY4">
        <v>114</v>
      </c>
      <c r="BZ4" t="s">
        <v>315</v>
      </c>
      <c r="CB4" t="s">
        <v>314</v>
      </c>
      <c r="CF4" t="s">
        <v>350</v>
      </c>
    </row>
    <row r="5" spans="1:85" ht="15" customHeight="1" x14ac:dyDescent="0.25">
      <c r="A5" s="1" t="s">
        <v>14</v>
      </c>
      <c r="B5" s="1" t="s">
        <v>15</v>
      </c>
      <c r="C5" s="2" t="s">
        <v>27</v>
      </c>
      <c r="D5" s="2" t="s">
        <v>28</v>
      </c>
      <c r="E5" s="3" t="s">
        <v>18</v>
      </c>
      <c r="F5" s="4" t="s">
        <v>29</v>
      </c>
      <c r="G5" s="5">
        <v>5902138403058</v>
      </c>
      <c r="H5" s="6">
        <v>93.6</v>
      </c>
      <c r="I5" s="6">
        <f t="shared" si="0"/>
        <v>115.12799999999999</v>
      </c>
      <c r="J5" s="6">
        <v>118.9</v>
      </c>
      <c r="K5" s="7">
        <v>129.9</v>
      </c>
      <c r="L5" s="4"/>
      <c r="M5" s="8" t="s">
        <v>20</v>
      </c>
      <c r="N5" s="8"/>
      <c r="O5" t="s">
        <v>291</v>
      </c>
      <c r="P5" t="s">
        <v>292</v>
      </c>
      <c r="Q5" t="s">
        <v>14</v>
      </c>
      <c r="R5" t="s">
        <v>15</v>
      </c>
      <c r="S5" t="s">
        <v>28</v>
      </c>
      <c r="T5" t="s">
        <v>29</v>
      </c>
      <c r="U5">
        <v>5902138403058</v>
      </c>
      <c r="V5">
        <v>93.6</v>
      </c>
      <c r="Y5" t="s">
        <v>20</v>
      </c>
      <c r="Z5" t="s">
        <v>351</v>
      </c>
      <c r="AA5" t="s">
        <v>29</v>
      </c>
      <c r="AB5" t="s">
        <v>335</v>
      </c>
      <c r="AD5" t="s">
        <v>352</v>
      </c>
      <c r="AE5" t="s">
        <v>296</v>
      </c>
      <c r="AF5" t="s">
        <v>297</v>
      </c>
      <c r="AH5" t="s">
        <v>353</v>
      </c>
      <c r="AJ5" t="s">
        <v>354</v>
      </c>
      <c r="AK5" t="s">
        <v>339</v>
      </c>
      <c r="AL5" t="s">
        <v>301</v>
      </c>
      <c r="AM5" t="s">
        <v>355</v>
      </c>
      <c r="AN5" t="s">
        <v>15</v>
      </c>
      <c r="AO5" t="s">
        <v>356</v>
      </c>
      <c r="AP5" t="s">
        <v>357</v>
      </c>
      <c r="AQ5" t="s">
        <v>358</v>
      </c>
      <c r="AR5" t="s">
        <v>359</v>
      </c>
      <c r="AS5" t="s">
        <v>360</v>
      </c>
      <c r="AT5" t="s">
        <v>360</v>
      </c>
      <c r="AU5" t="s">
        <v>361</v>
      </c>
      <c r="AY5" t="s">
        <v>308</v>
      </c>
      <c r="BA5" t="s">
        <v>362</v>
      </c>
      <c r="BB5" t="s">
        <v>346</v>
      </c>
      <c r="BP5" t="s">
        <v>363</v>
      </c>
      <c r="BQ5" t="s">
        <v>364</v>
      </c>
      <c r="BR5" t="s">
        <v>335</v>
      </c>
      <c r="BS5" t="s">
        <v>312</v>
      </c>
      <c r="BV5" t="s">
        <v>29</v>
      </c>
      <c r="BW5" t="s">
        <v>365</v>
      </c>
      <c r="BX5" t="s">
        <v>314</v>
      </c>
      <c r="BY5">
        <v>96</v>
      </c>
      <c r="BZ5" t="s">
        <v>315</v>
      </c>
      <c r="CB5" t="s">
        <v>314</v>
      </c>
      <c r="CF5" t="s">
        <v>366</v>
      </c>
    </row>
    <row r="6" spans="1:85" ht="409.5" x14ac:dyDescent="0.25">
      <c r="A6" s="63"/>
      <c r="B6" s="1" t="s">
        <v>30</v>
      </c>
      <c r="C6" s="4" t="str">
        <f t="shared" ref="C6:C18" si="1">CONCATENATE(D6,"/",E6)</f>
        <v>EP-501966/EAT</v>
      </c>
      <c r="D6" s="10" t="s">
        <v>32</v>
      </c>
      <c r="E6" s="4" t="s">
        <v>31</v>
      </c>
      <c r="F6" s="11" t="s">
        <v>33</v>
      </c>
      <c r="G6" s="12"/>
      <c r="H6" s="6">
        <v>159.88999999999999</v>
      </c>
      <c r="I6" s="6">
        <f t="shared" si="0"/>
        <v>196.66469999999998</v>
      </c>
      <c r="J6" s="6">
        <v>199.9</v>
      </c>
      <c r="K6" s="13">
        <v>208.46</v>
      </c>
      <c r="L6" s="9"/>
      <c r="M6" s="8"/>
      <c r="N6" s="8"/>
      <c r="O6" t="s">
        <v>367</v>
      </c>
      <c r="CF6" s="65" t="s">
        <v>790</v>
      </c>
      <c r="CG6" s="64" t="s">
        <v>789</v>
      </c>
    </row>
    <row r="7" spans="1:85" ht="409.5" x14ac:dyDescent="0.25">
      <c r="A7" s="63"/>
      <c r="B7" s="1" t="s">
        <v>30</v>
      </c>
      <c r="C7" s="4" t="str">
        <f t="shared" si="1"/>
        <v>285345/EAT</v>
      </c>
      <c r="D7" s="10">
        <v>285345</v>
      </c>
      <c r="E7" s="4" t="s">
        <v>31</v>
      </c>
      <c r="F7" s="11" t="s">
        <v>34</v>
      </c>
      <c r="G7" s="12"/>
      <c r="H7" s="6">
        <v>593.41</v>
      </c>
      <c r="I7" s="6">
        <f t="shared" si="0"/>
        <v>729.89429999999993</v>
      </c>
      <c r="J7" s="6">
        <v>714.9</v>
      </c>
      <c r="K7" s="13">
        <v>942.28</v>
      </c>
      <c r="L7" s="9"/>
      <c r="M7" s="8"/>
      <c r="N7" s="8"/>
      <c r="O7" t="s">
        <v>367</v>
      </c>
      <c r="CF7" s="65" t="s">
        <v>791</v>
      </c>
      <c r="CG7" s="64" t="s">
        <v>792</v>
      </c>
    </row>
    <row r="8" spans="1:85" ht="409.5" x14ac:dyDescent="0.25">
      <c r="A8" s="8"/>
      <c r="B8" s="1" t="s">
        <v>30</v>
      </c>
      <c r="C8" s="4" t="str">
        <f t="shared" si="1"/>
        <v>284908/EAT</v>
      </c>
      <c r="D8" s="10">
        <v>284908</v>
      </c>
      <c r="E8" s="4" t="s">
        <v>31</v>
      </c>
      <c r="F8" s="11" t="s">
        <v>35</v>
      </c>
      <c r="G8" s="12"/>
      <c r="H8" s="6">
        <v>105.98</v>
      </c>
      <c r="I8" s="6">
        <f t="shared" si="0"/>
        <v>130.3554</v>
      </c>
      <c r="J8" s="6">
        <v>128.9</v>
      </c>
      <c r="K8" s="13">
        <v>161.87</v>
      </c>
      <c r="L8" s="9"/>
      <c r="M8" s="8"/>
      <c r="N8" s="8"/>
      <c r="O8" t="s">
        <v>367</v>
      </c>
      <c r="CF8" s="65" t="s">
        <v>793</v>
      </c>
      <c r="CG8" s="64" t="s">
        <v>794</v>
      </c>
    </row>
    <row r="9" spans="1:85" ht="409.5" x14ac:dyDescent="0.25">
      <c r="A9" s="8"/>
      <c r="B9" s="1" t="s">
        <v>30</v>
      </c>
      <c r="C9" s="4" t="str">
        <f t="shared" si="1"/>
        <v>248439/EAT</v>
      </c>
      <c r="D9" s="10">
        <v>248439</v>
      </c>
      <c r="E9" s="4" t="s">
        <v>31</v>
      </c>
      <c r="F9" s="4" t="s">
        <v>36</v>
      </c>
      <c r="G9" s="14"/>
      <c r="H9" s="6">
        <v>47.52</v>
      </c>
      <c r="I9" s="6">
        <f t="shared" si="0"/>
        <v>58.449600000000004</v>
      </c>
      <c r="J9" s="6">
        <v>55.9</v>
      </c>
      <c r="K9" s="13">
        <v>69.77</v>
      </c>
      <c r="L9" s="4"/>
      <c r="M9" s="8"/>
      <c r="N9" s="8"/>
      <c r="O9" t="s">
        <v>367</v>
      </c>
      <c r="CF9" s="65" t="s">
        <v>795</v>
      </c>
      <c r="CG9" s="64" t="s">
        <v>796</v>
      </c>
    </row>
    <row r="10" spans="1:85" x14ac:dyDescent="0.25">
      <c r="A10" s="8" t="s">
        <v>37</v>
      </c>
      <c r="B10" s="1" t="s">
        <v>38</v>
      </c>
      <c r="C10" s="4" t="str">
        <f t="shared" si="1"/>
        <v>94252102/ELB</v>
      </c>
      <c r="D10" s="15">
        <v>94252102</v>
      </c>
      <c r="E10" s="11" t="s">
        <v>39</v>
      </c>
      <c r="F10" s="4" t="s">
        <v>40</v>
      </c>
      <c r="G10" s="14"/>
      <c r="H10" s="6">
        <v>31.78</v>
      </c>
      <c r="I10" s="6">
        <f t="shared" si="0"/>
        <v>39.089399999999998</v>
      </c>
      <c r="J10" s="6">
        <v>39.9</v>
      </c>
      <c r="K10" s="7">
        <v>43.9</v>
      </c>
      <c r="L10" s="4" t="s">
        <v>41</v>
      </c>
      <c r="M10" s="8"/>
      <c r="N10" s="8"/>
      <c r="O10" t="s">
        <v>291</v>
      </c>
      <c r="P10" t="s">
        <v>292</v>
      </c>
      <c r="Q10" t="s">
        <v>37</v>
      </c>
      <c r="R10" t="s">
        <v>38</v>
      </c>
      <c r="S10">
        <v>94252102</v>
      </c>
      <c r="T10" t="s">
        <v>40</v>
      </c>
      <c r="V10">
        <v>31.78</v>
      </c>
      <c r="X10" t="s">
        <v>41</v>
      </c>
      <c r="AA10" t="s">
        <v>40</v>
      </c>
      <c r="AB10" t="s">
        <v>368</v>
      </c>
      <c r="AN10" t="s">
        <v>38</v>
      </c>
      <c r="AO10" t="s">
        <v>369</v>
      </c>
      <c r="AP10" t="s">
        <v>370</v>
      </c>
      <c r="AS10" t="s">
        <v>371</v>
      </c>
      <c r="BB10" t="s">
        <v>372</v>
      </c>
      <c r="BP10" t="s">
        <v>373</v>
      </c>
      <c r="BQ10" t="s">
        <v>374</v>
      </c>
      <c r="BR10" t="s">
        <v>368</v>
      </c>
      <c r="BS10" t="s">
        <v>312</v>
      </c>
      <c r="BV10" t="s">
        <v>40</v>
      </c>
      <c r="BW10" t="s">
        <v>375</v>
      </c>
      <c r="BX10" t="s">
        <v>314</v>
      </c>
      <c r="BY10">
        <v>68</v>
      </c>
      <c r="BZ10" t="s">
        <v>315</v>
      </c>
      <c r="CB10" t="s">
        <v>314</v>
      </c>
      <c r="CF10" t="s">
        <v>376</v>
      </c>
    </row>
    <row r="11" spans="1:85" x14ac:dyDescent="0.25">
      <c r="A11" s="8" t="s">
        <v>37</v>
      </c>
      <c r="B11" s="1" t="s">
        <v>38</v>
      </c>
      <c r="C11" s="4" t="str">
        <f t="shared" si="1"/>
        <v>93000411/ELB</v>
      </c>
      <c r="D11" s="15">
        <v>93000411</v>
      </c>
      <c r="E11" s="11" t="s">
        <v>39</v>
      </c>
      <c r="F11" s="4" t="s">
        <v>42</v>
      </c>
      <c r="G11" s="14"/>
      <c r="H11" s="6">
        <v>4.76</v>
      </c>
      <c r="I11" s="6">
        <f t="shared" si="0"/>
        <v>5.8548</v>
      </c>
      <c r="J11" s="6">
        <v>5.99</v>
      </c>
      <c r="K11" s="7">
        <v>6.99</v>
      </c>
      <c r="L11" s="4" t="s">
        <v>43</v>
      </c>
      <c r="M11" s="8"/>
      <c r="N11" s="8"/>
      <c r="O11" t="s">
        <v>291</v>
      </c>
      <c r="P11" t="s">
        <v>377</v>
      </c>
      <c r="Q11" t="s">
        <v>37</v>
      </c>
      <c r="R11" t="s">
        <v>38</v>
      </c>
      <c r="S11">
        <v>93000411</v>
      </c>
      <c r="T11" t="s">
        <v>42</v>
      </c>
      <c r="V11">
        <v>4.76</v>
      </c>
      <c r="X11" t="s">
        <v>43</v>
      </c>
      <c r="AA11" t="s">
        <v>42</v>
      </c>
      <c r="AB11" t="s">
        <v>378</v>
      </c>
      <c r="AN11" t="s">
        <v>38</v>
      </c>
      <c r="AO11" t="s">
        <v>379</v>
      </c>
      <c r="BP11" t="s">
        <v>380</v>
      </c>
      <c r="BQ11" t="s">
        <v>381</v>
      </c>
      <c r="BR11" t="s">
        <v>378</v>
      </c>
      <c r="BS11" t="s">
        <v>312</v>
      </c>
      <c r="BV11" t="s">
        <v>42</v>
      </c>
      <c r="BW11" t="s">
        <v>382</v>
      </c>
      <c r="BX11" t="s">
        <v>314</v>
      </c>
      <c r="BY11">
        <v>79</v>
      </c>
      <c r="BZ11" t="s">
        <v>315</v>
      </c>
      <c r="CB11" t="s">
        <v>314</v>
      </c>
      <c r="CF11" t="s">
        <v>383</v>
      </c>
    </row>
    <row r="12" spans="1:85" x14ac:dyDescent="0.25">
      <c r="A12" s="8" t="s">
        <v>37</v>
      </c>
      <c r="B12" s="1" t="s">
        <v>38</v>
      </c>
      <c r="C12" s="4" t="str">
        <f t="shared" si="1"/>
        <v>95500201/ELB</v>
      </c>
      <c r="D12" s="15">
        <v>95500201</v>
      </c>
      <c r="E12" s="11" t="s">
        <v>39</v>
      </c>
      <c r="F12" s="4" t="s">
        <v>44</v>
      </c>
      <c r="G12" s="14"/>
      <c r="H12" s="6">
        <v>4.37</v>
      </c>
      <c r="I12" s="6">
        <f t="shared" si="0"/>
        <v>5.3750999999999998</v>
      </c>
      <c r="J12" s="6">
        <v>5.49</v>
      </c>
      <c r="K12" s="7">
        <v>6.59</v>
      </c>
      <c r="L12" s="4" t="s">
        <v>45</v>
      </c>
      <c r="M12" s="8"/>
      <c r="N12" s="8"/>
      <c r="O12" t="s">
        <v>291</v>
      </c>
      <c r="P12" t="s">
        <v>292</v>
      </c>
      <c r="Q12" t="s">
        <v>37</v>
      </c>
      <c r="R12" t="s">
        <v>38</v>
      </c>
      <c r="S12">
        <v>95500201</v>
      </c>
      <c r="T12" t="s">
        <v>44</v>
      </c>
      <c r="V12">
        <v>4.37</v>
      </c>
      <c r="X12" t="s">
        <v>45</v>
      </c>
      <c r="AA12" t="s">
        <v>44</v>
      </c>
      <c r="AB12" t="s">
        <v>384</v>
      </c>
      <c r="AN12" t="s">
        <v>38</v>
      </c>
      <c r="AO12" t="s">
        <v>385</v>
      </c>
      <c r="AP12" t="s">
        <v>386</v>
      </c>
      <c r="BP12" t="s">
        <v>387</v>
      </c>
      <c r="BQ12" t="s">
        <v>388</v>
      </c>
      <c r="BR12" t="s">
        <v>384</v>
      </c>
      <c r="BS12" t="s">
        <v>312</v>
      </c>
      <c r="BV12" t="s">
        <v>44</v>
      </c>
      <c r="BW12" t="s">
        <v>389</v>
      </c>
      <c r="BX12" t="s">
        <v>314</v>
      </c>
      <c r="BY12">
        <v>68</v>
      </c>
      <c r="BZ12" t="s">
        <v>315</v>
      </c>
      <c r="CB12" t="s">
        <v>314</v>
      </c>
      <c r="CF12" t="s">
        <v>390</v>
      </c>
    </row>
    <row r="13" spans="1:85" x14ac:dyDescent="0.25">
      <c r="A13" s="8" t="s">
        <v>37</v>
      </c>
      <c r="B13" s="1" t="s">
        <v>38</v>
      </c>
      <c r="C13" s="4" t="str">
        <f t="shared" si="1"/>
        <v>10400120080/ELB</v>
      </c>
      <c r="D13" s="15">
        <v>10400120080</v>
      </c>
      <c r="E13" s="11" t="s">
        <v>39</v>
      </c>
      <c r="F13" s="4" t="s">
        <v>46</v>
      </c>
      <c r="G13" s="14"/>
      <c r="H13" s="6">
        <v>335.4</v>
      </c>
      <c r="I13" s="6">
        <f t="shared" si="0"/>
        <v>412.54199999999997</v>
      </c>
      <c r="J13" s="6">
        <v>399.9</v>
      </c>
      <c r="K13" s="7">
        <v>415.9</v>
      </c>
      <c r="L13" s="4" t="s">
        <v>47</v>
      </c>
      <c r="M13" s="8"/>
      <c r="N13" s="8"/>
      <c r="O13" t="s">
        <v>291</v>
      </c>
      <c r="P13" t="s">
        <v>292</v>
      </c>
      <c r="Q13" t="s">
        <v>37</v>
      </c>
      <c r="R13" t="s">
        <v>38</v>
      </c>
      <c r="S13">
        <v>10400120080</v>
      </c>
      <c r="T13" t="s">
        <v>46</v>
      </c>
      <c r="V13">
        <v>335.4</v>
      </c>
      <c r="X13" t="s">
        <v>47</v>
      </c>
      <c r="AA13" t="s">
        <v>46</v>
      </c>
      <c r="AB13" t="s">
        <v>391</v>
      </c>
      <c r="AM13" t="s">
        <v>392</v>
      </c>
      <c r="AN13" t="s">
        <v>38</v>
      </c>
      <c r="AO13" t="s">
        <v>393</v>
      </c>
      <c r="AP13" t="s">
        <v>394</v>
      </c>
      <c r="BP13" t="s">
        <v>395</v>
      </c>
      <c r="BQ13" t="s">
        <v>396</v>
      </c>
      <c r="BR13" t="s">
        <v>391</v>
      </c>
      <c r="BS13" t="s">
        <v>312</v>
      </c>
      <c r="BV13" t="s">
        <v>46</v>
      </c>
      <c r="BW13" t="s">
        <v>397</v>
      </c>
      <c r="BX13" t="s">
        <v>314</v>
      </c>
      <c r="BY13">
        <v>65</v>
      </c>
      <c r="BZ13" t="s">
        <v>315</v>
      </c>
      <c r="CB13" t="s">
        <v>314</v>
      </c>
      <c r="CF13" t="s">
        <v>398</v>
      </c>
    </row>
    <row r="14" spans="1:85" x14ac:dyDescent="0.25">
      <c r="A14" s="8" t="s">
        <v>37</v>
      </c>
      <c r="B14" s="1" t="s">
        <v>48</v>
      </c>
      <c r="C14" s="4" t="str">
        <f t="shared" si="1"/>
        <v>2465-00/EPN</v>
      </c>
      <c r="D14" s="16" t="s">
        <v>49</v>
      </c>
      <c r="E14" s="4" t="s">
        <v>48</v>
      </c>
      <c r="F14" s="4" t="s">
        <v>50</v>
      </c>
      <c r="G14" s="5">
        <v>5904161515562</v>
      </c>
      <c r="H14" s="6">
        <v>123.38</v>
      </c>
      <c r="I14" s="6">
        <f t="shared" si="0"/>
        <v>151.75739999999999</v>
      </c>
      <c r="J14" s="6">
        <v>149.9</v>
      </c>
      <c r="K14" s="7">
        <v>159.9</v>
      </c>
      <c r="L14" s="4"/>
      <c r="M14" s="8"/>
      <c r="N14" s="8"/>
      <c r="O14" t="s">
        <v>291</v>
      </c>
      <c r="P14" t="s">
        <v>292</v>
      </c>
      <c r="Q14" t="s">
        <v>37</v>
      </c>
      <c r="R14" t="s">
        <v>48</v>
      </c>
      <c r="S14" t="s">
        <v>49</v>
      </c>
      <c r="T14" t="s">
        <v>50</v>
      </c>
      <c r="U14">
        <v>5904161515562</v>
      </c>
      <c r="V14">
        <v>123.38</v>
      </c>
      <c r="Z14" t="s">
        <v>399</v>
      </c>
      <c r="AA14" t="s">
        <v>50</v>
      </c>
      <c r="AB14" t="s">
        <v>400</v>
      </c>
      <c r="AJ14" t="s">
        <v>354</v>
      </c>
      <c r="AM14" t="s">
        <v>341</v>
      </c>
      <c r="AN14" t="s">
        <v>48</v>
      </c>
      <c r="AO14" t="s">
        <v>401</v>
      </c>
      <c r="AP14" t="s">
        <v>402</v>
      </c>
      <c r="AT14" t="s">
        <v>403</v>
      </c>
      <c r="AU14" t="s">
        <v>404</v>
      </c>
      <c r="BB14" t="s">
        <v>405</v>
      </c>
      <c r="BP14" t="s">
        <v>406</v>
      </c>
      <c r="BQ14" t="s">
        <v>407</v>
      </c>
      <c r="BR14" t="s">
        <v>400</v>
      </c>
      <c r="BS14" t="s">
        <v>312</v>
      </c>
      <c r="BV14" t="s">
        <v>50</v>
      </c>
      <c r="BW14" t="s">
        <v>408</v>
      </c>
      <c r="BX14" t="s">
        <v>314</v>
      </c>
      <c r="BY14">
        <v>66</v>
      </c>
      <c r="BZ14" t="s">
        <v>315</v>
      </c>
      <c r="CB14" t="s">
        <v>314</v>
      </c>
      <c r="CF14" t="s">
        <v>409</v>
      </c>
    </row>
    <row r="15" spans="1:85" x14ac:dyDescent="0.25">
      <c r="A15" s="8" t="s">
        <v>37</v>
      </c>
      <c r="B15" s="1" t="s">
        <v>48</v>
      </c>
      <c r="C15" s="4" t="str">
        <f t="shared" si="1"/>
        <v>2465-50/EPN</v>
      </c>
      <c r="D15" s="16" t="s">
        <v>51</v>
      </c>
      <c r="E15" s="4" t="s">
        <v>48</v>
      </c>
      <c r="F15" s="4" t="s">
        <v>52</v>
      </c>
      <c r="G15" s="5">
        <v>5904161518655</v>
      </c>
      <c r="H15" s="6">
        <v>158.1</v>
      </c>
      <c r="I15" s="6">
        <f t="shared" si="0"/>
        <v>194.46299999999999</v>
      </c>
      <c r="J15" s="6">
        <v>193.9</v>
      </c>
      <c r="K15" s="7">
        <v>213.9</v>
      </c>
      <c r="L15" s="4"/>
      <c r="M15" s="8"/>
      <c r="N15" s="8"/>
      <c r="O15" t="s">
        <v>291</v>
      </c>
      <c r="P15" t="s">
        <v>292</v>
      </c>
      <c r="Q15" t="s">
        <v>37</v>
      </c>
      <c r="R15" t="s">
        <v>48</v>
      </c>
      <c r="S15" t="s">
        <v>51</v>
      </c>
      <c r="T15" t="s">
        <v>52</v>
      </c>
      <c r="U15">
        <v>5904161518655</v>
      </c>
      <c r="V15">
        <v>158.1</v>
      </c>
      <c r="Z15" t="s">
        <v>410</v>
      </c>
      <c r="AA15" t="s">
        <v>52</v>
      </c>
      <c r="AB15" t="s">
        <v>411</v>
      </c>
      <c r="AJ15" t="s">
        <v>354</v>
      </c>
      <c r="AM15" t="s">
        <v>341</v>
      </c>
      <c r="AN15" t="s">
        <v>48</v>
      </c>
      <c r="AO15" t="s">
        <v>412</v>
      </c>
      <c r="AP15" t="s">
        <v>413</v>
      </c>
      <c r="AT15" t="s">
        <v>403</v>
      </c>
      <c r="AU15" t="s">
        <v>404</v>
      </c>
      <c r="BB15" t="s">
        <v>414</v>
      </c>
      <c r="BP15" t="s">
        <v>406</v>
      </c>
      <c r="BQ15" t="s">
        <v>407</v>
      </c>
      <c r="BR15" t="s">
        <v>411</v>
      </c>
      <c r="BS15" t="s">
        <v>312</v>
      </c>
      <c r="BV15" t="s">
        <v>52</v>
      </c>
      <c r="BW15" t="s">
        <v>415</v>
      </c>
      <c r="BX15" t="s">
        <v>314</v>
      </c>
      <c r="BY15">
        <v>92</v>
      </c>
      <c r="BZ15" t="s">
        <v>315</v>
      </c>
      <c r="CB15" t="s">
        <v>314</v>
      </c>
      <c r="CF15" t="s">
        <v>416</v>
      </c>
    </row>
    <row r="16" spans="1:85" x14ac:dyDescent="0.25">
      <c r="A16" s="8" t="s">
        <v>37</v>
      </c>
      <c r="B16" s="1" t="s">
        <v>53</v>
      </c>
      <c r="C16" s="4" t="str">
        <f t="shared" si="1"/>
        <v>39.999/EPO</v>
      </c>
      <c r="D16" s="10" t="s">
        <v>54</v>
      </c>
      <c r="E16" s="4" t="s">
        <v>53</v>
      </c>
      <c r="F16" s="4" t="s">
        <v>55</v>
      </c>
      <c r="G16" s="14"/>
      <c r="H16" s="6">
        <v>13.1</v>
      </c>
      <c r="I16" s="6">
        <f t="shared" si="0"/>
        <v>16.113</v>
      </c>
      <c r="J16" s="6">
        <v>18.899999999999999</v>
      </c>
      <c r="K16" s="7">
        <v>21.9</v>
      </c>
      <c r="L16" s="17" t="s">
        <v>56</v>
      </c>
      <c r="M16" s="8"/>
      <c r="N16" s="8"/>
      <c r="O16" t="s">
        <v>291</v>
      </c>
      <c r="P16" t="s">
        <v>292</v>
      </c>
      <c r="Q16" t="s">
        <v>37</v>
      </c>
      <c r="R16" t="s">
        <v>53</v>
      </c>
      <c r="S16">
        <v>39.999000000000002</v>
      </c>
      <c r="T16" t="s">
        <v>55</v>
      </c>
      <c r="X16" t="s">
        <v>56</v>
      </c>
      <c r="Z16" t="s">
        <v>417</v>
      </c>
      <c r="AA16" t="s">
        <v>55</v>
      </c>
      <c r="AB16" t="s">
        <v>418</v>
      </c>
      <c r="AD16" t="s">
        <v>419</v>
      </c>
      <c r="AN16" t="s">
        <v>53</v>
      </c>
      <c r="AO16" t="s">
        <v>420</v>
      </c>
      <c r="AP16" t="s">
        <v>421</v>
      </c>
      <c r="BB16" t="s">
        <v>422</v>
      </c>
      <c r="BL16" t="s">
        <v>423</v>
      </c>
      <c r="BP16" t="s">
        <v>424</v>
      </c>
      <c r="BQ16" t="s">
        <v>425</v>
      </c>
      <c r="BR16" t="s">
        <v>418</v>
      </c>
      <c r="BS16" t="s">
        <v>312</v>
      </c>
      <c r="BV16" t="s">
        <v>55</v>
      </c>
      <c r="BW16" t="s">
        <v>426</v>
      </c>
      <c r="BX16" t="s">
        <v>314</v>
      </c>
      <c r="BY16">
        <v>65</v>
      </c>
      <c r="BZ16" t="s">
        <v>315</v>
      </c>
      <c r="CB16" t="s">
        <v>314</v>
      </c>
      <c r="CF16" t="s">
        <v>427</v>
      </c>
    </row>
    <row r="17" spans="1:85" x14ac:dyDescent="0.25">
      <c r="A17" s="8" t="s">
        <v>37</v>
      </c>
      <c r="B17" s="1" t="s">
        <v>53</v>
      </c>
      <c r="C17" s="4" t="str">
        <f t="shared" si="1"/>
        <v>18.90/EPO</v>
      </c>
      <c r="D17" s="10" t="s">
        <v>57</v>
      </c>
      <c r="E17" s="4" t="s">
        <v>53</v>
      </c>
      <c r="F17" s="4" t="s">
        <v>58</v>
      </c>
      <c r="G17" s="14"/>
      <c r="H17" s="6">
        <v>9.32</v>
      </c>
      <c r="I17" s="6">
        <f t="shared" si="0"/>
        <v>11.4636</v>
      </c>
      <c r="J17" s="6">
        <v>13.9</v>
      </c>
      <c r="K17" s="7">
        <v>15.9</v>
      </c>
      <c r="L17" s="17" t="s">
        <v>56</v>
      </c>
      <c r="M17" s="8"/>
      <c r="N17" s="8"/>
      <c r="O17" t="s">
        <v>291</v>
      </c>
      <c r="P17" t="s">
        <v>377</v>
      </c>
      <c r="Q17" t="s">
        <v>37</v>
      </c>
      <c r="R17" t="s">
        <v>53</v>
      </c>
      <c r="S17">
        <v>18.899999999999999</v>
      </c>
      <c r="T17" t="s">
        <v>58</v>
      </c>
      <c r="X17" t="s">
        <v>56</v>
      </c>
      <c r="AA17" t="s">
        <v>58</v>
      </c>
      <c r="AB17" t="s">
        <v>428</v>
      </c>
      <c r="AM17" t="s">
        <v>392</v>
      </c>
      <c r="AN17" t="s">
        <v>53</v>
      </c>
      <c r="AO17" t="s">
        <v>429</v>
      </c>
      <c r="AP17" t="s">
        <v>430</v>
      </c>
      <c r="BP17" t="s">
        <v>395</v>
      </c>
      <c r="BQ17" t="s">
        <v>396</v>
      </c>
      <c r="BR17" t="s">
        <v>428</v>
      </c>
      <c r="BS17" t="s">
        <v>312</v>
      </c>
      <c r="BV17" t="s">
        <v>58</v>
      </c>
      <c r="BW17" t="s">
        <v>431</v>
      </c>
      <c r="BX17" t="s">
        <v>314</v>
      </c>
      <c r="BY17">
        <v>74</v>
      </c>
      <c r="BZ17" t="s">
        <v>315</v>
      </c>
      <c r="CB17" t="s">
        <v>314</v>
      </c>
      <c r="CF17" t="s">
        <v>432</v>
      </c>
    </row>
    <row r="18" spans="1:85" ht="15.75" customHeight="1" x14ac:dyDescent="0.25">
      <c r="A18" s="8" t="s">
        <v>37</v>
      </c>
      <c r="B18" s="1" t="s">
        <v>53</v>
      </c>
      <c r="C18" s="4" t="str">
        <f t="shared" si="1"/>
        <v>55.66/EPO</v>
      </c>
      <c r="D18" s="18" t="s">
        <v>59</v>
      </c>
      <c r="E18" s="4" t="s">
        <v>53</v>
      </c>
      <c r="F18" s="4" t="s">
        <v>60</v>
      </c>
      <c r="G18" s="14"/>
      <c r="H18" s="6">
        <v>41.99</v>
      </c>
      <c r="I18" s="6">
        <f t="shared" si="0"/>
        <v>51.6477</v>
      </c>
      <c r="J18" s="6">
        <v>47.9</v>
      </c>
      <c r="K18" s="7">
        <v>52.9</v>
      </c>
      <c r="L18" s="17" t="s">
        <v>56</v>
      </c>
      <c r="M18" s="8"/>
      <c r="N18" s="8"/>
      <c r="O18" t="s">
        <v>291</v>
      </c>
      <c r="P18" t="s">
        <v>292</v>
      </c>
      <c r="Q18" t="s">
        <v>37</v>
      </c>
      <c r="R18" t="s">
        <v>53</v>
      </c>
      <c r="S18">
        <v>55.66</v>
      </c>
      <c r="T18" t="s">
        <v>60</v>
      </c>
      <c r="X18" t="s">
        <v>56</v>
      </c>
      <c r="Z18" t="s">
        <v>433</v>
      </c>
      <c r="AA18" t="s">
        <v>60</v>
      </c>
      <c r="AB18" t="s">
        <v>434</v>
      </c>
      <c r="AE18">
        <v>250</v>
      </c>
      <c r="AJ18" t="s">
        <v>435</v>
      </c>
      <c r="AM18" t="s">
        <v>302</v>
      </c>
      <c r="AN18" t="s">
        <v>53</v>
      </c>
      <c r="AO18" t="s">
        <v>436</v>
      </c>
      <c r="BE18">
        <v>16</v>
      </c>
      <c r="BP18" t="s">
        <v>437</v>
      </c>
      <c r="BQ18" t="s">
        <v>438</v>
      </c>
      <c r="BR18" t="s">
        <v>434</v>
      </c>
      <c r="BS18" t="s">
        <v>312</v>
      </c>
      <c r="BV18" t="s">
        <v>60</v>
      </c>
      <c r="BW18" t="s">
        <v>439</v>
      </c>
      <c r="BX18" t="s">
        <v>314</v>
      </c>
      <c r="BY18">
        <v>53</v>
      </c>
      <c r="BZ18" t="s">
        <v>315</v>
      </c>
      <c r="CB18" t="s">
        <v>314</v>
      </c>
      <c r="CF18" t="s">
        <v>440</v>
      </c>
    </row>
    <row r="19" spans="1:85" ht="26.25" customHeight="1" x14ac:dyDescent="0.25">
      <c r="A19" s="19" t="s">
        <v>14</v>
      </c>
      <c r="B19" s="1" t="s">
        <v>61</v>
      </c>
      <c r="C19" s="20" t="s">
        <v>62</v>
      </c>
      <c r="D19" s="21" t="s">
        <v>63</v>
      </c>
      <c r="E19" s="22" t="s">
        <v>61</v>
      </c>
      <c r="F19" s="4"/>
      <c r="G19" s="14"/>
      <c r="H19" s="6">
        <v>0.59</v>
      </c>
      <c r="I19" s="6">
        <f t="shared" si="0"/>
        <v>0.7256999999999999</v>
      </c>
      <c r="J19" s="6">
        <v>0.75</v>
      </c>
      <c r="K19" s="7">
        <v>0.89</v>
      </c>
      <c r="L19" s="4"/>
      <c r="M19" s="8" t="s">
        <v>64</v>
      </c>
      <c r="N19" s="8"/>
      <c r="O19" t="s">
        <v>291</v>
      </c>
      <c r="P19" t="s">
        <v>377</v>
      </c>
      <c r="Q19" t="s">
        <v>14</v>
      </c>
      <c r="R19" t="s">
        <v>61</v>
      </c>
      <c r="S19" t="s">
        <v>63</v>
      </c>
      <c r="V19">
        <v>0.59</v>
      </c>
      <c r="Y19" t="s">
        <v>64</v>
      </c>
      <c r="AN19" t="s">
        <v>61</v>
      </c>
      <c r="BP19" t="s">
        <v>441</v>
      </c>
      <c r="BQ19" t="s">
        <v>442</v>
      </c>
      <c r="BS19" t="s">
        <v>312</v>
      </c>
      <c r="BW19" t="s">
        <v>443</v>
      </c>
      <c r="BX19" t="s">
        <v>314</v>
      </c>
      <c r="BY19">
        <v>48</v>
      </c>
      <c r="BZ19" t="s">
        <v>315</v>
      </c>
      <c r="CB19" t="s">
        <v>314</v>
      </c>
      <c r="CF19" t="s">
        <v>444</v>
      </c>
    </row>
    <row r="20" spans="1:85" ht="26.25" customHeight="1" x14ac:dyDescent="0.25">
      <c r="A20" s="8" t="s">
        <v>37</v>
      </c>
      <c r="B20" s="1" t="s">
        <v>61</v>
      </c>
      <c r="C20" s="4" t="str">
        <f t="shared" ref="C20:C44" si="2">CONCATENATE(D20,"/",E20)</f>
        <v>06.53/EPS</v>
      </c>
      <c r="D20" s="21" t="s">
        <v>65</v>
      </c>
      <c r="E20" s="22" t="s">
        <v>61</v>
      </c>
      <c r="F20" s="4" t="s">
        <v>66</v>
      </c>
      <c r="G20" s="14"/>
      <c r="H20" s="6">
        <v>27.52</v>
      </c>
      <c r="I20" s="6">
        <f t="shared" si="0"/>
        <v>33.849600000000002</v>
      </c>
      <c r="J20" s="6">
        <v>34.9</v>
      </c>
      <c r="K20" s="7">
        <v>38.9</v>
      </c>
      <c r="L20" s="4"/>
      <c r="M20" s="8" t="s">
        <v>64</v>
      </c>
      <c r="N20" s="8"/>
      <c r="O20" t="s">
        <v>291</v>
      </c>
      <c r="P20" t="s">
        <v>292</v>
      </c>
      <c r="Q20" t="s">
        <v>37</v>
      </c>
      <c r="R20" t="s">
        <v>61</v>
      </c>
      <c r="S20">
        <v>6.53</v>
      </c>
      <c r="V20">
        <v>27.52</v>
      </c>
      <c r="Y20" t="s">
        <v>64</v>
      </c>
      <c r="Z20" t="s">
        <v>445</v>
      </c>
      <c r="AA20" t="s">
        <v>445</v>
      </c>
      <c r="AB20" t="s">
        <v>446</v>
      </c>
      <c r="AL20" t="s">
        <v>323</v>
      </c>
      <c r="AM20" t="s">
        <v>302</v>
      </c>
      <c r="AN20" t="s">
        <v>61</v>
      </c>
      <c r="AO20" t="s">
        <v>447</v>
      </c>
      <c r="AP20">
        <v>-25</v>
      </c>
      <c r="BA20" t="s">
        <v>448</v>
      </c>
      <c r="BB20" t="s">
        <v>449</v>
      </c>
      <c r="BC20" t="s">
        <v>450</v>
      </c>
      <c r="BP20" t="s">
        <v>451</v>
      </c>
      <c r="BQ20" t="s">
        <v>452</v>
      </c>
      <c r="BR20" t="s">
        <v>446</v>
      </c>
      <c r="BS20" t="s">
        <v>312</v>
      </c>
      <c r="BV20" t="s">
        <v>445</v>
      </c>
      <c r="BW20" t="s">
        <v>453</v>
      </c>
      <c r="BX20" t="s">
        <v>314</v>
      </c>
      <c r="BY20">
        <v>57</v>
      </c>
      <c r="BZ20" t="s">
        <v>315</v>
      </c>
      <c r="CB20" t="s">
        <v>314</v>
      </c>
      <c r="CF20" t="s">
        <v>454</v>
      </c>
    </row>
    <row r="21" spans="1:85" ht="26.25" customHeight="1" x14ac:dyDescent="0.25">
      <c r="A21" s="8" t="s">
        <v>37</v>
      </c>
      <c r="B21" s="1" t="s">
        <v>61</v>
      </c>
      <c r="C21" s="4" t="str">
        <f t="shared" si="2"/>
        <v>05.174/EPS</v>
      </c>
      <c r="D21" s="23" t="s">
        <v>67</v>
      </c>
      <c r="E21" s="22" t="s">
        <v>61</v>
      </c>
      <c r="F21" s="4" t="s">
        <v>68</v>
      </c>
      <c r="G21" s="14"/>
      <c r="H21" s="6">
        <v>2.4700000000000002</v>
      </c>
      <c r="I21" s="6">
        <f t="shared" si="0"/>
        <v>3.0381</v>
      </c>
      <c r="J21" s="6">
        <v>3.09</v>
      </c>
      <c r="K21" s="7">
        <v>3.49</v>
      </c>
      <c r="L21" s="4"/>
      <c r="M21" s="8" t="s">
        <v>64</v>
      </c>
      <c r="N21" s="8"/>
      <c r="O21" t="s">
        <v>291</v>
      </c>
      <c r="P21" t="s">
        <v>377</v>
      </c>
      <c r="Q21" t="s">
        <v>37</v>
      </c>
      <c r="R21" t="s">
        <v>61</v>
      </c>
      <c r="S21">
        <v>5.1740000000000004</v>
      </c>
      <c r="V21">
        <v>2.4700000000000002</v>
      </c>
      <c r="Y21" t="s">
        <v>64</v>
      </c>
      <c r="Z21" t="s">
        <v>455</v>
      </c>
      <c r="AA21" t="s">
        <v>455</v>
      </c>
      <c r="AB21" t="s">
        <v>456</v>
      </c>
      <c r="AJ21" t="s">
        <v>456</v>
      </c>
      <c r="AM21" t="s">
        <v>355</v>
      </c>
      <c r="AN21" t="s">
        <v>61</v>
      </c>
      <c r="AO21" t="s">
        <v>456</v>
      </c>
      <c r="AP21">
        <v>-25</v>
      </c>
      <c r="BA21" t="s">
        <v>457</v>
      </c>
      <c r="BB21" t="s">
        <v>449</v>
      </c>
      <c r="BP21" t="s">
        <v>458</v>
      </c>
      <c r="BQ21" t="s">
        <v>459</v>
      </c>
      <c r="BR21" t="s">
        <v>456</v>
      </c>
      <c r="BS21" t="s">
        <v>312</v>
      </c>
      <c r="BV21" t="s">
        <v>455</v>
      </c>
      <c r="BW21" t="s">
        <v>460</v>
      </c>
      <c r="BX21" t="s">
        <v>314</v>
      </c>
      <c r="BY21">
        <v>58</v>
      </c>
      <c r="BZ21" t="s">
        <v>315</v>
      </c>
      <c r="CB21" t="s">
        <v>314</v>
      </c>
      <c r="CF21" t="s">
        <v>461</v>
      </c>
    </row>
    <row r="22" spans="1:85" ht="15.75" customHeight="1" x14ac:dyDescent="0.25">
      <c r="A22" s="8" t="s">
        <v>37</v>
      </c>
      <c r="B22" s="1" t="s">
        <v>69</v>
      </c>
      <c r="C22" s="4" t="str">
        <f t="shared" si="2"/>
        <v>001101214/ETI</v>
      </c>
      <c r="D22" s="24" t="s">
        <v>70</v>
      </c>
      <c r="E22" s="25" t="s">
        <v>69</v>
      </c>
      <c r="F22" s="4" t="s">
        <v>71</v>
      </c>
      <c r="G22" s="14"/>
      <c r="H22" s="6">
        <v>424.31</v>
      </c>
      <c r="I22" s="6">
        <f t="shared" si="0"/>
        <v>521.90129999999999</v>
      </c>
      <c r="J22" s="6">
        <v>499.9</v>
      </c>
      <c r="K22" s="13">
        <v>572.82000000000005</v>
      </c>
      <c r="L22" s="4" t="s">
        <v>72</v>
      </c>
      <c r="M22" s="8" t="s">
        <v>64</v>
      </c>
      <c r="N22" s="8"/>
      <c r="O22" t="s">
        <v>367</v>
      </c>
      <c r="CF22" s="65" t="s">
        <v>797</v>
      </c>
      <c r="CG22" s="64" t="s">
        <v>800</v>
      </c>
    </row>
    <row r="23" spans="1:85" ht="15.75" customHeight="1" x14ac:dyDescent="0.25">
      <c r="A23" s="8" t="s">
        <v>37</v>
      </c>
      <c r="B23" s="1" t="s">
        <v>69</v>
      </c>
      <c r="C23" s="4" t="str">
        <f t="shared" si="2"/>
        <v>001101216/ETI</v>
      </c>
      <c r="D23" s="24" t="s">
        <v>73</v>
      </c>
      <c r="E23" s="25" t="s">
        <v>69</v>
      </c>
      <c r="F23" s="4" t="s">
        <v>74</v>
      </c>
      <c r="G23" s="14"/>
      <c r="H23" s="6">
        <v>571.9</v>
      </c>
      <c r="I23" s="6">
        <f t="shared" si="0"/>
        <v>703.43700000000001</v>
      </c>
      <c r="J23" s="6">
        <v>679.9</v>
      </c>
      <c r="K23" s="13">
        <v>772.06</v>
      </c>
      <c r="L23" s="4" t="s">
        <v>72</v>
      </c>
      <c r="M23" s="8" t="s">
        <v>64</v>
      </c>
      <c r="N23" s="8"/>
      <c r="O23" t="s">
        <v>367</v>
      </c>
      <c r="CF23" s="65" t="s">
        <v>798</v>
      </c>
      <c r="CG23" s="64" t="s">
        <v>801</v>
      </c>
    </row>
    <row r="24" spans="1:85" ht="15.75" customHeight="1" x14ac:dyDescent="0.25">
      <c r="A24" s="8" t="s">
        <v>37</v>
      </c>
      <c r="B24" s="1" t="s">
        <v>69</v>
      </c>
      <c r="C24" s="4" t="str">
        <f t="shared" si="2"/>
        <v>002172406/ETI</v>
      </c>
      <c r="D24" s="24" t="s">
        <v>75</v>
      </c>
      <c r="E24" s="25" t="s">
        <v>69</v>
      </c>
      <c r="F24" s="4" t="s">
        <v>76</v>
      </c>
      <c r="G24" s="14"/>
      <c r="H24" s="6">
        <v>210.03</v>
      </c>
      <c r="I24" s="6">
        <f t="shared" si="0"/>
        <v>258.33690000000001</v>
      </c>
      <c r="J24" s="6">
        <v>249</v>
      </c>
      <c r="K24" s="7">
        <v>269</v>
      </c>
      <c r="L24" s="4" t="s">
        <v>77</v>
      </c>
      <c r="M24" s="8" t="s">
        <v>64</v>
      </c>
      <c r="N24" s="8"/>
      <c r="O24" t="s">
        <v>367</v>
      </c>
      <c r="CF24" s="65" t="s">
        <v>799</v>
      </c>
      <c r="CG24" s="64" t="s">
        <v>802</v>
      </c>
    </row>
    <row r="25" spans="1:85" ht="15.75" customHeight="1" x14ac:dyDescent="0.25">
      <c r="A25" s="8" t="s">
        <v>37</v>
      </c>
      <c r="B25" s="1" t="s">
        <v>69</v>
      </c>
      <c r="C25" s="4" t="str">
        <f t="shared" si="2"/>
        <v>002173814/ETI</v>
      </c>
      <c r="D25" s="26" t="s">
        <v>78</v>
      </c>
      <c r="E25" s="25" t="s">
        <v>69</v>
      </c>
      <c r="F25" s="4" t="s">
        <v>79</v>
      </c>
      <c r="G25" s="14"/>
      <c r="H25" s="6">
        <v>707.73</v>
      </c>
      <c r="I25" s="6">
        <f t="shared" si="0"/>
        <v>870.50790000000006</v>
      </c>
      <c r="J25" s="6">
        <v>839</v>
      </c>
      <c r="K25" s="7">
        <v>899</v>
      </c>
      <c r="L25" s="4" t="s">
        <v>77</v>
      </c>
      <c r="M25" s="8" t="s">
        <v>64</v>
      </c>
      <c r="N25" s="8"/>
      <c r="O25" t="s">
        <v>291</v>
      </c>
      <c r="P25" t="s">
        <v>292</v>
      </c>
      <c r="Q25" t="s">
        <v>37</v>
      </c>
      <c r="R25" t="s">
        <v>69</v>
      </c>
      <c r="S25">
        <v>2173814</v>
      </c>
      <c r="T25" t="s">
        <v>79</v>
      </c>
      <c r="V25">
        <v>707.73</v>
      </c>
      <c r="X25" t="s">
        <v>77</v>
      </c>
      <c r="Y25" t="s">
        <v>64</v>
      </c>
      <c r="Z25" t="s">
        <v>462</v>
      </c>
      <c r="AA25" t="s">
        <v>79</v>
      </c>
      <c r="AB25" t="s">
        <v>463</v>
      </c>
      <c r="AE25" t="s">
        <v>464</v>
      </c>
      <c r="AJ25" t="s">
        <v>465</v>
      </c>
      <c r="AN25" t="s">
        <v>69</v>
      </c>
      <c r="AO25" t="s">
        <v>466</v>
      </c>
      <c r="AP25" t="s">
        <v>467</v>
      </c>
      <c r="BE25" t="s">
        <v>468</v>
      </c>
      <c r="BG25">
        <v>2</v>
      </c>
      <c r="BI25" t="s">
        <v>468</v>
      </c>
      <c r="BP25" t="s">
        <v>469</v>
      </c>
      <c r="BQ25" t="s">
        <v>470</v>
      </c>
      <c r="BR25" t="s">
        <v>463</v>
      </c>
      <c r="BS25" t="s">
        <v>312</v>
      </c>
      <c r="BV25" t="s">
        <v>79</v>
      </c>
      <c r="BW25" t="s">
        <v>471</v>
      </c>
      <c r="BX25" t="s">
        <v>314</v>
      </c>
      <c r="BY25">
        <v>90</v>
      </c>
      <c r="BZ25" t="s">
        <v>315</v>
      </c>
      <c r="CB25" t="s">
        <v>314</v>
      </c>
      <c r="CF25" t="s">
        <v>472</v>
      </c>
    </row>
    <row r="26" spans="1:85" ht="15.75" customHeight="1" x14ac:dyDescent="0.25">
      <c r="A26" s="8"/>
      <c r="B26" s="1" t="s">
        <v>80</v>
      </c>
      <c r="C26" s="4" t="str">
        <f t="shared" si="2"/>
        <v>PSR-463-AUTO/FIF</v>
      </c>
      <c r="D26" s="10" t="s">
        <v>81</v>
      </c>
      <c r="E26" s="4" t="s">
        <v>82</v>
      </c>
      <c r="F26" s="11" t="s">
        <v>83</v>
      </c>
      <c r="G26" s="12"/>
      <c r="H26" s="27">
        <v>878.4</v>
      </c>
      <c r="I26" s="6">
        <f t="shared" si="0"/>
        <v>1080.432</v>
      </c>
      <c r="J26" s="27">
        <v>1089</v>
      </c>
      <c r="K26" s="7">
        <v>1199</v>
      </c>
      <c r="L26" s="9"/>
      <c r="M26" s="28"/>
      <c r="N26" s="28"/>
      <c r="O26" t="s">
        <v>367</v>
      </c>
      <c r="CF26" s="65" t="s">
        <v>803</v>
      </c>
      <c r="CG26" s="64" t="s">
        <v>804</v>
      </c>
    </row>
    <row r="27" spans="1:85" ht="15.75" customHeight="1" x14ac:dyDescent="0.25">
      <c r="A27" s="8" t="s">
        <v>37</v>
      </c>
      <c r="B27" s="1" t="s">
        <v>84</v>
      </c>
      <c r="C27" s="4" t="str">
        <f t="shared" si="2"/>
        <v>HT1P169/GTV</v>
      </c>
      <c r="D27" s="10" t="s">
        <v>85</v>
      </c>
      <c r="E27" s="4" t="s">
        <v>84</v>
      </c>
      <c r="F27" s="4" t="s">
        <v>86</v>
      </c>
      <c r="G27" s="14"/>
      <c r="H27" s="6">
        <v>174.53</v>
      </c>
      <c r="I27" s="6">
        <f t="shared" si="0"/>
        <v>214.67189999999999</v>
      </c>
      <c r="J27" s="6">
        <v>219.9</v>
      </c>
      <c r="K27" s="13">
        <v>268.63</v>
      </c>
      <c r="L27" s="4"/>
      <c r="M27" s="8"/>
      <c r="N27" s="8">
        <v>570</v>
      </c>
      <c r="O27" t="s">
        <v>291</v>
      </c>
      <c r="P27" t="s">
        <v>292</v>
      </c>
      <c r="Q27" t="s">
        <v>37</v>
      </c>
      <c r="R27" t="s">
        <v>84</v>
      </c>
      <c r="S27" t="s">
        <v>85</v>
      </c>
      <c r="V27">
        <v>174.53</v>
      </c>
      <c r="Z27" t="s">
        <v>473</v>
      </c>
      <c r="AA27" t="s">
        <v>473</v>
      </c>
      <c r="AB27" t="s">
        <v>474</v>
      </c>
      <c r="AN27" t="s">
        <v>84</v>
      </c>
      <c r="AO27" t="s">
        <v>475</v>
      </c>
      <c r="AP27" t="s">
        <v>476</v>
      </c>
      <c r="AS27" t="s">
        <v>477</v>
      </c>
      <c r="BB27" t="s">
        <v>372</v>
      </c>
      <c r="BC27" t="s">
        <v>478</v>
      </c>
      <c r="BP27" t="s">
        <v>479</v>
      </c>
      <c r="BQ27" t="s">
        <v>480</v>
      </c>
      <c r="BR27" t="s">
        <v>474</v>
      </c>
      <c r="BS27" t="s">
        <v>312</v>
      </c>
      <c r="BV27" t="s">
        <v>473</v>
      </c>
      <c r="BW27" t="s">
        <v>481</v>
      </c>
      <c r="BX27" t="s">
        <v>314</v>
      </c>
      <c r="BY27">
        <v>58</v>
      </c>
      <c r="BZ27" t="s">
        <v>315</v>
      </c>
      <c r="CB27" t="s">
        <v>314</v>
      </c>
      <c r="CF27" t="s">
        <v>482</v>
      </c>
    </row>
    <row r="28" spans="1:85" ht="15.75" customHeight="1" x14ac:dyDescent="0.25">
      <c r="A28" s="8" t="s">
        <v>37</v>
      </c>
      <c r="B28" s="1" t="s">
        <v>84</v>
      </c>
      <c r="C28" s="4" t="str">
        <f t="shared" si="2"/>
        <v>HT5K279-2-S/GTV</v>
      </c>
      <c r="D28" s="29" t="s">
        <v>87</v>
      </c>
      <c r="E28" s="4" t="s">
        <v>84</v>
      </c>
      <c r="F28" s="30" t="s">
        <v>88</v>
      </c>
      <c r="G28" s="14"/>
      <c r="H28" s="6">
        <v>80.989999999999995</v>
      </c>
      <c r="I28" s="6">
        <f t="shared" si="0"/>
        <v>99.617699999999999</v>
      </c>
      <c r="J28" s="6">
        <v>99.9</v>
      </c>
      <c r="K28" s="7">
        <v>112.9</v>
      </c>
      <c r="L28" s="4"/>
      <c r="M28" s="8"/>
      <c r="N28" s="8">
        <v>1450</v>
      </c>
      <c r="O28" t="s">
        <v>367</v>
      </c>
      <c r="CF28" s="65" t="s">
        <v>808</v>
      </c>
      <c r="CG28" s="64" t="s">
        <v>805</v>
      </c>
    </row>
    <row r="29" spans="1:85" ht="15.75" customHeight="1" x14ac:dyDescent="0.25">
      <c r="A29" s="8"/>
      <c r="B29" s="1" t="s">
        <v>84</v>
      </c>
      <c r="C29" s="4" t="str">
        <f t="shared" si="2"/>
        <v>HT5K279-2-M/GTV</v>
      </c>
      <c r="D29" s="29" t="s">
        <v>89</v>
      </c>
      <c r="E29" s="4" t="s">
        <v>84</v>
      </c>
      <c r="F29" s="30" t="s">
        <v>90</v>
      </c>
      <c r="G29" s="14"/>
      <c r="H29" s="6">
        <v>80.989999999999995</v>
      </c>
      <c r="I29" s="6">
        <f t="shared" si="0"/>
        <v>99.617699999999999</v>
      </c>
      <c r="J29" s="6">
        <v>99.9</v>
      </c>
      <c r="K29" s="7">
        <v>112.9</v>
      </c>
      <c r="L29" s="4"/>
      <c r="M29" s="8"/>
      <c r="N29" s="8"/>
      <c r="O29" t="s">
        <v>367</v>
      </c>
    </row>
    <row r="30" spans="1:85" ht="15.75" customHeight="1" x14ac:dyDescent="0.25">
      <c r="A30" s="8"/>
      <c r="B30" s="1" t="s">
        <v>84</v>
      </c>
      <c r="C30" s="4" t="str">
        <f t="shared" si="2"/>
        <v>HT5K279-2-L/GTV</v>
      </c>
      <c r="D30" s="29" t="s">
        <v>91</v>
      </c>
      <c r="E30" s="4" t="s">
        <v>84</v>
      </c>
      <c r="F30" s="30" t="s">
        <v>92</v>
      </c>
      <c r="G30" s="14"/>
      <c r="H30" s="6">
        <v>80.989999999999995</v>
      </c>
      <c r="I30" s="6">
        <f t="shared" si="0"/>
        <v>99.617699999999999</v>
      </c>
      <c r="J30" s="6">
        <v>99.9</v>
      </c>
      <c r="K30" s="7">
        <v>112.9</v>
      </c>
      <c r="L30" s="4"/>
      <c r="M30" s="8"/>
      <c r="N30" s="8"/>
      <c r="O30" t="s">
        <v>367</v>
      </c>
    </row>
    <row r="31" spans="1:85" ht="15.75" customHeight="1" x14ac:dyDescent="0.25">
      <c r="A31" s="8"/>
      <c r="B31" s="1" t="s">
        <v>84</v>
      </c>
      <c r="C31" s="4" t="str">
        <f t="shared" si="2"/>
        <v>HT5K279-2-XL/GTV</v>
      </c>
      <c r="D31" s="29" t="s">
        <v>93</v>
      </c>
      <c r="E31" s="4" t="s">
        <v>84</v>
      </c>
      <c r="F31" s="30" t="s">
        <v>94</v>
      </c>
      <c r="G31" s="14"/>
      <c r="H31" s="6">
        <v>80.989999999999995</v>
      </c>
      <c r="I31" s="6">
        <f t="shared" si="0"/>
        <v>99.617699999999999</v>
      </c>
      <c r="J31" s="6">
        <v>99.9</v>
      </c>
      <c r="K31" s="7">
        <v>112.9</v>
      </c>
      <c r="L31" s="4"/>
      <c r="M31" s="8"/>
      <c r="N31" s="8"/>
      <c r="O31" t="s">
        <v>367</v>
      </c>
    </row>
    <row r="32" spans="1:85" ht="15.75" customHeight="1" x14ac:dyDescent="0.25">
      <c r="A32" s="8"/>
      <c r="B32" s="1" t="s">
        <v>84</v>
      </c>
      <c r="C32" s="4" t="str">
        <f t="shared" si="2"/>
        <v>HT5K279-2-2XL/GTV</v>
      </c>
      <c r="D32" s="29" t="s">
        <v>95</v>
      </c>
      <c r="E32" s="4" t="s">
        <v>84</v>
      </c>
      <c r="F32" s="30" t="s">
        <v>96</v>
      </c>
      <c r="G32" s="14"/>
      <c r="H32" s="6">
        <v>80.989999999999995</v>
      </c>
      <c r="I32" s="6">
        <f t="shared" si="0"/>
        <v>99.617699999999999</v>
      </c>
      <c r="J32" s="6">
        <v>99.9</v>
      </c>
      <c r="K32" s="7">
        <v>112.9</v>
      </c>
      <c r="L32" s="4"/>
      <c r="M32" s="8"/>
      <c r="N32" s="8"/>
      <c r="O32" t="s">
        <v>367</v>
      </c>
    </row>
    <row r="33" spans="1:85" ht="15.75" customHeight="1" x14ac:dyDescent="0.25">
      <c r="A33" s="8"/>
      <c r="B33" s="1" t="s">
        <v>84</v>
      </c>
      <c r="C33" s="4" t="str">
        <f t="shared" si="2"/>
        <v>HT5K279-2-3XL/GTV</v>
      </c>
      <c r="D33" s="29" t="s">
        <v>97</v>
      </c>
      <c r="E33" s="4" t="s">
        <v>84</v>
      </c>
      <c r="F33" s="30" t="s">
        <v>98</v>
      </c>
      <c r="G33" s="14"/>
      <c r="H33" s="6">
        <v>80.989999999999995</v>
      </c>
      <c r="I33" s="6">
        <f t="shared" si="0"/>
        <v>99.617699999999999</v>
      </c>
      <c r="J33" s="6">
        <v>99.9</v>
      </c>
      <c r="K33" s="7">
        <v>112.9</v>
      </c>
      <c r="L33" s="4"/>
      <c r="M33" s="8"/>
      <c r="N33" s="8"/>
      <c r="O33" t="s">
        <v>367</v>
      </c>
    </row>
    <row r="34" spans="1:85" ht="15.75" customHeight="1" x14ac:dyDescent="0.25">
      <c r="A34" s="8"/>
      <c r="B34" s="1" t="s">
        <v>84</v>
      </c>
      <c r="C34" s="4" t="str">
        <f t="shared" si="2"/>
        <v>HT5K284-1-S/GTV</v>
      </c>
      <c r="D34" s="29" t="s">
        <v>99</v>
      </c>
      <c r="E34" s="4" t="s">
        <v>84</v>
      </c>
      <c r="F34" s="30" t="s">
        <v>100</v>
      </c>
      <c r="G34" s="14"/>
      <c r="H34" s="6">
        <v>80.989999999999995</v>
      </c>
      <c r="I34" s="6">
        <f t="shared" si="0"/>
        <v>99.617699999999999</v>
      </c>
      <c r="J34" s="6">
        <v>99.9</v>
      </c>
      <c r="K34" s="7">
        <v>112.9</v>
      </c>
      <c r="L34" s="4"/>
      <c r="M34" s="8"/>
      <c r="N34" s="8"/>
      <c r="O34" t="s">
        <v>367</v>
      </c>
      <c r="CF34" s="65" t="s">
        <v>807</v>
      </c>
      <c r="CG34" s="64" t="s">
        <v>806</v>
      </c>
    </row>
    <row r="35" spans="1:85" ht="15.75" customHeight="1" x14ac:dyDescent="0.25">
      <c r="A35" s="8"/>
      <c r="B35" s="1" t="s">
        <v>84</v>
      </c>
      <c r="C35" s="4" t="str">
        <f t="shared" si="2"/>
        <v>HT5K284-1-M/GTV</v>
      </c>
      <c r="D35" s="29" t="s">
        <v>101</v>
      </c>
      <c r="E35" s="4" t="s">
        <v>84</v>
      </c>
      <c r="F35" s="30" t="s">
        <v>102</v>
      </c>
      <c r="G35" s="14"/>
      <c r="H35" s="6">
        <v>80.989999999999995</v>
      </c>
      <c r="I35" s="6">
        <f t="shared" si="0"/>
        <v>99.617699999999999</v>
      </c>
      <c r="J35" s="6">
        <v>99.9</v>
      </c>
      <c r="K35" s="7">
        <v>112.9</v>
      </c>
      <c r="L35" s="4"/>
      <c r="M35" s="8"/>
      <c r="N35" s="8"/>
      <c r="O35" t="s">
        <v>367</v>
      </c>
    </row>
    <row r="36" spans="1:85" ht="15.75" customHeight="1" x14ac:dyDescent="0.25">
      <c r="A36" s="8"/>
      <c r="B36" s="1" t="s">
        <v>84</v>
      </c>
      <c r="C36" s="4" t="str">
        <f t="shared" si="2"/>
        <v>HT5K284-1-L/GTV</v>
      </c>
      <c r="D36" s="29" t="s">
        <v>103</v>
      </c>
      <c r="E36" s="4" t="s">
        <v>84</v>
      </c>
      <c r="F36" s="30" t="s">
        <v>104</v>
      </c>
      <c r="G36" s="14"/>
      <c r="H36" s="6">
        <v>80.989999999999995</v>
      </c>
      <c r="I36" s="6">
        <f t="shared" si="0"/>
        <v>99.617699999999999</v>
      </c>
      <c r="J36" s="6">
        <v>99.9</v>
      </c>
      <c r="K36" s="7">
        <v>112.9</v>
      </c>
      <c r="L36" s="4"/>
      <c r="M36" s="8"/>
      <c r="N36" s="8"/>
      <c r="O36" t="s">
        <v>367</v>
      </c>
    </row>
    <row r="37" spans="1:85" ht="15.75" customHeight="1" x14ac:dyDescent="0.25">
      <c r="A37" s="8"/>
      <c r="B37" s="1" t="s">
        <v>84</v>
      </c>
      <c r="C37" s="4" t="str">
        <f t="shared" si="2"/>
        <v>HT5K284-1-XL/GTV</v>
      </c>
      <c r="D37" s="29" t="s">
        <v>105</v>
      </c>
      <c r="E37" s="4" t="s">
        <v>84</v>
      </c>
      <c r="F37" s="30" t="s">
        <v>106</v>
      </c>
      <c r="G37" s="14"/>
      <c r="H37" s="6">
        <v>80.989999999999995</v>
      </c>
      <c r="I37" s="6">
        <f t="shared" si="0"/>
        <v>99.617699999999999</v>
      </c>
      <c r="J37" s="6">
        <v>99.9</v>
      </c>
      <c r="K37" s="7">
        <v>112.9</v>
      </c>
      <c r="L37" s="4"/>
      <c r="M37" s="8"/>
      <c r="N37" s="8"/>
      <c r="O37" t="s">
        <v>367</v>
      </c>
    </row>
    <row r="38" spans="1:85" ht="15.75" customHeight="1" x14ac:dyDescent="0.25">
      <c r="A38" s="8"/>
      <c r="B38" s="1" t="s">
        <v>84</v>
      </c>
      <c r="C38" s="4" t="str">
        <f t="shared" si="2"/>
        <v>HT5K284-1-2XL/GTV</v>
      </c>
      <c r="D38" s="29" t="s">
        <v>107</v>
      </c>
      <c r="E38" s="4" t="s">
        <v>84</v>
      </c>
      <c r="F38" s="30" t="s">
        <v>108</v>
      </c>
      <c r="G38" s="14"/>
      <c r="H38" s="6">
        <v>80.989999999999995</v>
      </c>
      <c r="I38" s="6">
        <f t="shared" si="0"/>
        <v>99.617699999999999</v>
      </c>
      <c r="J38" s="6">
        <v>99.9</v>
      </c>
      <c r="K38" s="7">
        <v>112.9</v>
      </c>
      <c r="L38" s="4"/>
      <c r="M38" s="8"/>
      <c r="N38" s="8"/>
      <c r="O38" t="s">
        <v>367</v>
      </c>
    </row>
    <row r="39" spans="1:85" ht="15.75" customHeight="1" x14ac:dyDescent="0.25">
      <c r="A39" s="8" t="s">
        <v>37</v>
      </c>
      <c r="B39" s="1" t="s">
        <v>84</v>
      </c>
      <c r="C39" s="4" t="str">
        <f t="shared" si="2"/>
        <v>HT5K284-1-3XL/GTV</v>
      </c>
      <c r="D39" s="29" t="s">
        <v>109</v>
      </c>
      <c r="E39" s="4" t="s">
        <v>84</v>
      </c>
      <c r="F39" s="30" t="s">
        <v>110</v>
      </c>
      <c r="G39" s="14"/>
      <c r="H39" s="6">
        <v>80.989999999999995</v>
      </c>
      <c r="I39" s="6">
        <f t="shared" si="0"/>
        <v>99.617699999999999</v>
      </c>
      <c r="J39" s="6">
        <v>99.9</v>
      </c>
      <c r="K39" s="7">
        <v>112.9</v>
      </c>
      <c r="L39" s="4"/>
      <c r="M39" s="8"/>
      <c r="N39" s="8">
        <v>1450</v>
      </c>
      <c r="O39" t="s">
        <v>367</v>
      </c>
    </row>
    <row r="40" spans="1:85" ht="15.75" customHeight="1" x14ac:dyDescent="0.25">
      <c r="A40" s="8"/>
      <c r="B40" s="1" t="s">
        <v>111</v>
      </c>
      <c r="C40" s="4" t="str">
        <f t="shared" si="2"/>
        <v>ADZ316D/HAG</v>
      </c>
      <c r="D40" s="10" t="s">
        <v>113</v>
      </c>
      <c r="E40" s="4" t="s">
        <v>112</v>
      </c>
      <c r="F40" s="14" t="s">
        <v>114</v>
      </c>
      <c r="G40" s="14"/>
      <c r="H40" s="6"/>
      <c r="I40" s="6">
        <f t="shared" si="0"/>
        <v>0</v>
      </c>
      <c r="J40" s="6">
        <v>349.9</v>
      </c>
      <c r="K40" s="13">
        <v>423.12</v>
      </c>
      <c r="L40" s="4"/>
      <c r="M40" s="8"/>
      <c r="N40" s="8"/>
      <c r="O40" t="s">
        <v>291</v>
      </c>
      <c r="P40" t="s">
        <v>292</v>
      </c>
      <c r="R40" t="s">
        <v>111</v>
      </c>
      <c r="S40" t="s">
        <v>113</v>
      </c>
      <c r="T40" t="s">
        <v>114</v>
      </c>
      <c r="Z40" t="s">
        <v>483</v>
      </c>
      <c r="AA40" t="s">
        <v>114</v>
      </c>
      <c r="AB40" t="s">
        <v>484</v>
      </c>
      <c r="AD40" t="s">
        <v>485</v>
      </c>
      <c r="AE40" t="s">
        <v>486</v>
      </c>
      <c r="AL40" t="s">
        <v>487</v>
      </c>
      <c r="AN40" t="s">
        <v>111</v>
      </c>
      <c r="AO40" t="s">
        <v>488</v>
      </c>
      <c r="AP40" t="s">
        <v>489</v>
      </c>
      <c r="BG40">
        <v>4</v>
      </c>
      <c r="BP40" t="s">
        <v>490</v>
      </c>
      <c r="BQ40" t="s">
        <v>491</v>
      </c>
      <c r="BR40" t="s">
        <v>484</v>
      </c>
      <c r="BS40" t="s">
        <v>312</v>
      </c>
      <c r="BV40" t="s">
        <v>114</v>
      </c>
      <c r="BW40" t="s">
        <v>492</v>
      </c>
      <c r="BX40" t="s">
        <v>314</v>
      </c>
      <c r="BY40">
        <v>82</v>
      </c>
      <c r="BZ40" t="s">
        <v>315</v>
      </c>
      <c r="CB40" t="s">
        <v>314</v>
      </c>
      <c r="CF40" t="s">
        <v>493</v>
      </c>
    </row>
    <row r="41" spans="1:85" ht="15.75" customHeight="1" x14ac:dyDescent="0.25">
      <c r="A41" s="8"/>
      <c r="B41" s="1" t="s">
        <v>111</v>
      </c>
      <c r="C41" s="4" t="str">
        <f t="shared" si="2"/>
        <v>WL4800/HAG</v>
      </c>
      <c r="D41" s="10" t="s">
        <v>115</v>
      </c>
      <c r="E41" s="4" t="s">
        <v>112</v>
      </c>
      <c r="F41" s="14" t="s">
        <v>116</v>
      </c>
      <c r="G41" s="14"/>
      <c r="H41" s="6"/>
      <c r="I41" s="6">
        <f t="shared" si="0"/>
        <v>0</v>
      </c>
      <c r="J41" s="6">
        <v>69.900000000000006</v>
      </c>
      <c r="K41" s="7">
        <v>74.900000000000006</v>
      </c>
      <c r="L41" s="4"/>
      <c r="M41" s="8"/>
      <c r="N41" s="8"/>
      <c r="O41" t="s">
        <v>291</v>
      </c>
      <c r="P41" t="s">
        <v>292</v>
      </c>
      <c r="R41" t="s">
        <v>111</v>
      </c>
      <c r="S41" t="s">
        <v>115</v>
      </c>
      <c r="T41" t="s">
        <v>116</v>
      </c>
      <c r="Z41" t="s">
        <v>494</v>
      </c>
      <c r="AA41" t="s">
        <v>116</v>
      </c>
      <c r="AB41" t="s">
        <v>434</v>
      </c>
      <c r="AD41" t="s">
        <v>495</v>
      </c>
      <c r="AE41" t="s">
        <v>496</v>
      </c>
      <c r="AJ41" t="s">
        <v>465</v>
      </c>
      <c r="AM41" t="s">
        <v>341</v>
      </c>
      <c r="AN41" t="s">
        <v>111</v>
      </c>
      <c r="AO41" t="s">
        <v>497</v>
      </c>
      <c r="BB41" t="s">
        <v>405</v>
      </c>
      <c r="BE41" t="s">
        <v>498</v>
      </c>
      <c r="BP41" t="s">
        <v>499</v>
      </c>
      <c r="BQ41" t="s">
        <v>500</v>
      </c>
      <c r="BR41" t="s">
        <v>434</v>
      </c>
      <c r="BS41" t="s">
        <v>312</v>
      </c>
      <c r="BV41" t="s">
        <v>116</v>
      </c>
      <c r="BW41" t="s">
        <v>501</v>
      </c>
      <c r="BX41" t="s">
        <v>314</v>
      </c>
      <c r="BY41">
        <v>78</v>
      </c>
      <c r="BZ41" t="s">
        <v>315</v>
      </c>
      <c r="CB41" t="s">
        <v>314</v>
      </c>
      <c r="CF41" t="s">
        <v>502</v>
      </c>
    </row>
    <row r="42" spans="1:85" ht="15.75" customHeight="1" x14ac:dyDescent="0.25">
      <c r="A42" s="8"/>
      <c r="B42" s="1" t="s">
        <v>111</v>
      </c>
      <c r="C42" s="4" t="str">
        <f t="shared" si="2"/>
        <v>SPE440S/HAG</v>
      </c>
      <c r="D42" s="10" t="s">
        <v>117</v>
      </c>
      <c r="E42" s="4" t="s">
        <v>112</v>
      </c>
      <c r="F42" s="14" t="s">
        <v>118</v>
      </c>
      <c r="G42" s="14"/>
      <c r="H42" s="6"/>
      <c r="I42" s="6">
        <f t="shared" si="0"/>
        <v>0</v>
      </c>
      <c r="J42" s="6">
        <v>349.9</v>
      </c>
      <c r="K42" s="7">
        <v>379.9</v>
      </c>
      <c r="L42" s="9"/>
      <c r="M42" s="8"/>
      <c r="N42" s="8"/>
      <c r="O42" t="s">
        <v>291</v>
      </c>
      <c r="P42" t="s">
        <v>292</v>
      </c>
      <c r="R42" t="s">
        <v>111</v>
      </c>
      <c r="S42" t="s">
        <v>117</v>
      </c>
      <c r="T42" t="s">
        <v>118</v>
      </c>
      <c r="Z42" t="s">
        <v>503</v>
      </c>
      <c r="AA42" t="s">
        <v>118</v>
      </c>
      <c r="AB42" t="s">
        <v>391</v>
      </c>
      <c r="AE42">
        <v>275</v>
      </c>
      <c r="AN42" t="s">
        <v>111</v>
      </c>
      <c r="AO42" t="s">
        <v>504</v>
      </c>
      <c r="AP42" t="s">
        <v>505</v>
      </c>
      <c r="BP42" t="s">
        <v>506</v>
      </c>
      <c r="BQ42" t="s">
        <v>507</v>
      </c>
      <c r="BR42" t="s">
        <v>391</v>
      </c>
      <c r="BS42" t="s">
        <v>312</v>
      </c>
      <c r="BV42" t="s">
        <v>118</v>
      </c>
      <c r="BW42" t="s">
        <v>508</v>
      </c>
      <c r="BX42" t="s">
        <v>314</v>
      </c>
      <c r="BY42">
        <v>78</v>
      </c>
      <c r="BZ42" t="s">
        <v>315</v>
      </c>
      <c r="CB42" t="s">
        <v>314</v>
      </c>
      <c r="CF42" t="s">
        <v>509</v>
      </c>
    </row>
    <row r="43" spans="1:85" ht="15.75" customHeight="1" x14ac:dyDescent="0.25">
      <c r="A43" s="8"/>
      <c r="B43" s="8" t="s">
        <v>119</v>
      </c>
      <c r="C43" s="4" t="str">
        <f t="shared" si="2"/>
        <v>713531/HLK</v>
      </c>
      <c r="D43" s="10">
        <v>713531</v>
      </c>
      <c r="E43" s="4" t="s">
        <v>120</v>
      </c>
      <c r="F43" s="4" t="s">
        <v>121</v>
      </c>
      <c r="G43" s="14"/>
      <c r="H43" s="31">
        <v>3280</v>
      </c>
      <c r="I43" s="6">
        <f t="shared" si="0"/>
        <v>4034.4</v>
      </c>
      <c r="J43" s="6">
        <v>4797</v>
      </c>
      <c r="K43" s="13">
        <v>4985.6099999999997</v>
      </c>
      <c r="L43" s="9"/>
      <c r="M43" s="8"/>
      <c r="N43" s="8"/>
      <c r="O43" t="s">
        <v>367</v>
      </c>
      <c r="CF43" s="65" t="s">
        <v>809</v>
      </c>
      <c r="CG43" s="64" t="s">
        <v>811</v>
      </c>
    </row>
    <row r="44" spans="1:85" ht="15.75" customHeight="1" x14ac:dyDescent="0.25">
      <c r="A44" s="8"/>
      <c r="B44" s="8" t="s">
        <v>119</v>
      </c>
      <c r="C44" s="4" t="str">
        <f t="shared" si="2"/>
        <v>713569/HLK</v>
      </c>
      <c r="D44" s="10">
        <v>713569</v>
      </c>
      <c r="E44" s="4" t="s">
        <v>120</v>
      </c>
      <c r="F44" s="4" t="s">
        <v>122</v>
      </c>
      <c r="G44" s="14"/>
      <c r="H44" s="31">
        <v>3280</v>
      </c>
      <c r="I44" s="6">
        <f t="shared" si="0"/>
        <v>4034.4</v>
      </c>
      <c r="J44" s="6">
        <v>4797</v>
      </c>
      <c r="K44" s="13">
        <v>4985.6099999999997</v>
      </c>
      <c r="L44" s="9"/>
      <c r="M44" s="8"/>
      <c r="N44" s="8"/>
      <c r="O44" t="s">
        <v>367</v>
      </c>
      <c r="CF44" s="65" t="s">
        <v>810</v>
      </c>
      <c r="CG44" s="64" t="s">
        <v>815</v>
      </c>
    </row>
    <row r="45" spans="1:85" ht="15.75" customHeight="1" x14ac:dyDescent="0.25">
      <c r="A45" s="1" t="s">
        <v>14</v>
      </c>
      <c r="B45" s="8" t="s">
        <v>119</v>
      </c>
      <c r="C45" s="32" t="s">
        <v>123</v>
      </c>
      <c r="D45" s="33">
        <v>11024828</v>
      </c>
      <c r="E45" s="4" t="s">
        <v>120</v>
      </c>
      <c r="F45" s="4" t="s">
        <v>124</v>
      </c>
      <c r="G45" s="14"/>
      <c r="H45" s="31">
        <v>4.5</v>
      </c>
      <c r="I45" s="6">
        <f t="shared" si="0"/>
        <v>5.5350000000000001</v>
      </c>
      <c r="J45" s="6">
        <v>5.99</v>
      </c>
      <c r="K45" s="7">
        <v>6.79</v>
      </c>
      <c r="L45" s="4"/>
      <c r="M45" s="8"/>
      <c r="N45" s="8"/>
      <c r="O45" t="s">
        <v>367</v>
      </c>
      <c r="CF45" s="65" t="s">
        <v>814</v>
      </c>
      <c r="CG45" s="64" t="s">
        <v>816</v>
      </c>
    </row>
    <row r="46" spans="1:85" ht="15.75" customHeight="1" x14ac:dyDescent="0.25">
      <c r="A46" s="1" t="s">
        <v>14</v>
      </c>
      <c r="B46" s="8" t="s">
        <v>119</v>
      </c>
      <c r="C46" s="32" t="s">
        <v>125</v>
      </c>
      <c r="D46" s="33">
        <v>11024829</v>
      </c>
      <c r="E46" s="4" t="s">
        <v>120</v>
      </c>
      <c r="F46" s="4" t="s">
        <v>126</v>
      </c>
      <c r="G46" s="14"/>
      <c r="H46" s="31">
        <v>3.5</v>
      </c>
      <c r="I46" s="6">
        <f t="shared" si="0"/>
        <v>4.3049999999999997</v>
      </c>
      <c r="J46" s="6">
        <v>4.8899999999999997</v>
      </c>
      <c r="K46" s="7">
        <v>5.49</v>
      </c>
      <c r="L46" s="4"/>
      <c r="M46" s="8"/>
      <c r="N46" s="8"/>
      <c r="O46" t="s">
        <v>367</v>
      </c>
      <c r="CF46" s="65" t="s">
        <v>817</v>
      </c>
      <c r="CG46" s="64" t="s">
        <v>818</v>
      </c>
    </row>
    <row r="47" spans="1:85" ht="15.75" customHeight="1" x14ac:dyDescent="0.25">
      <c r="A47" s="1" t="s">
        <v>14</v>
      </c>
      <c r="B47" s="8" t="s">
        <v>127</v>
      </c>
      <c r="C47" s="34" t="s">
        <v>128</v>
      </c>
      <c r="D47" s="35">
        <v>28997</v>
      </c>
      <c r="E47" s="35" t="s">
        <v>129</v>
      </c>
      <c r="F47" s="36" t="s">
        <v>130</v>
      </c>
      <c r="G47" s="37">
        <v>5905339289971</v>
      </c>
      <c r="H47" s="6">
        <v>60.9</v>
      </c>
      <c r="I47" s="6">
        <f t="shared" si="0"/>
        <v>74.906999999999996</v>
      </c>
      <c r="J47" s="6">
        <v>76.900000000000006</v>
      </c>
      <c r="K47" s="13">
        <v>79.91</v>
      </c>
      <c r="L47" s="36" t="s">
        <v>131</v>
      </c>
      <c r="M47" s="38" t="s">
        <v>132</v>
      </c>
      <c r="N47" s="8" t="s">
        <v>133</v>
      </c>
      <c r="O47" t="s">
        <v>291</v>
      </c>
      <c r="P47" t="s">
        <v>292</v>
      </c>
      <c r="Q47" t="s">
        <v>14</v>
      </c>
      <c r="R47" t="s">
        <v>127</v>
      </c>
      <c r="S47">
        <v>28997</v>
      </c>
      <c r="T47" t="s">
        <v>130</v>
      </c>
      <c r="U47">
        <v>5905339289971</v>
      </c>
      <c r="V47">
        <v>59.9</v>
      </c>
      <c r="W47">
        <v>1</v>
      </c>
      <c r="X47" t="s">
        <v>131</v>
      </c>
      <c r="Y47" t="s">
        <v>132</v>
      </c>
      <c r="Z47" t="s">
        <v>510</v>
      </c>
      <c r="AA47" t="s">
        <v>130</v>
      </c>
      <c r="AB47" t="s">
        <v>511</v>
      </c>
      <c r="AD47" t="s">
        <v>512</v>
      </c>
      <c r="AE47" t="s">
        <v>513</v>
      </c>
      <c r="AF47" t="s">
        <v>320</v>
      </c>
      <c r="AG47" t="s">
        <v>514</v>
      </c>
      <c r="AH47" t="s">
        <v>515</v>
      </c>
      <c r="AI47" t="s">
        <v>516</v>
      </c>
      <c r="AJ47" t="s">
        <v>299</v>
      </c>
      <c r="AM47" t="s">
        <v>517</v>
      </c>
      <c r="AN47" t="s">
        <v>127</v>
      </c>
      <c r="AO47" t="s">
        <v>518</v>
      </c>
      <c r="AP47" t="s">
        <v>519</v>
      </c>
      <c r="AQ47" t="s">
        <v>520</v>
      </c>
      <c r="AS47" t="s">
        <v>521</v>
      </c>
      <c r="AT47" t="s">
        <v>521</v>
      </c>
      <c r="AU47" t="s">
        <v>521</v>
      </c>
      <c r="AV47" t="s">
        <v>522</v>
      </c>
      <c r="BB47" t="s">
        <v>523</v>
      </c>
      <c r="BL47">
        <v>18650</v>
      </c>
      <c r="BP47" t="s">
        <v>524</v>
      </c>
      <c r="BQ47" t="s">
        <v>525</v>
      </c>
      <c r="BR47" t="s">
        <v>511</v>
      </c>
      <c r="BS47" t="s">
        <v>312</v>
      </c>
      <c r="BV47" t="s">
        <v>130</v>
      </c>
      <c r="BW47" t="s">
        <v>526</v>
      </c>
      <c r="BX47" t="s">
        <v>314</v>
      </c>
      <c r="BY47">
        <v>108</v>
      </c>
      <c r="BZ47" t="s">
        <v>315</v>
      </c>
      <c r="CB47" t="s">
        <v>314</v>
      </c>
      <c r="CF47" t="s">
        <v>527</v>
      </c>
    </row>
    <row r="48" spans="1:85" ht="15.75" customHeight="1" x14ac:dyDescent="0.25">
      <c r="A48" s="1" t="s">
        <v>14</v>
      </c>
      <c r="B48" s="8" t="s">
        <v>127</v>
      </c>
      <c r="C48" s="39" t="s">
        <v>134</v>
      </c>
      <c r="D48" s="40">
        <v>45930</v>
      </c>
      <c r="E48" s="35" t="s">
        <v>129</v>
      </c>
      <c r="F48" s="36" t="s">
        <v>135</v>
      </c>
      <c r="G48" s="37">
        <v>5905339902955</v>
      </c>
      <c r="H48" s="41">
        <v>53.25</v>
      </c>
      <c r="I48" s="6">
        <f t="shared" si="0"/>
        <v>65.497500000000002</v>
      </c>
      <c r="J48" s="6">
        <v>69.900000000000006</v>
      </c>
      <c r="K48" s="13">
        <v>74.900000000000006</v>
      </c>
      <c r="L48" s="42" t="s">
        <v>136</v>
      </c>
      <c r="M48" s="38" t="s">
        <v>132</v>
      </c>
      <c r="N48" s="8" t="s">
        <v>137</v>
      </c>
      <c r="O48" t="s">
        <v>291</v>
      </c>
      <c r="P48" t="s">
        <v>292</v>
      </c>
      <c r="Q48" t="s">
        <v>14</v>
      </c>
      <c r="R48" t="s">
        <v>127</v>
      </c>
      <c r="S48">
        <v>45930</v>
      </c>
      <c r="T48" t="s">
        <v>135</v>
      </c>
      <c r="U48">
        <v>5905339902955</v>
      </c>
      <c r="V48">
        <v>52.9</v>
      </c>
      <c r="W48">
        <v>0.35</v>
      </c>
      <c r="X48" t="s">
        <v>136</v>
      </c>
      <c r="Y48" t="s">
        <v>132</v>
      </c>
      <c r="Z48" t="s">
        <v>528</v>
      </c>
      <c r="AA48" t="s">
        <v>135</v>
      </c>
      <c r="AB48" t="s">
        <v>529</v>
      </c>
      <c r="AD48" t="s">
        <v>530</v>
      </c>
      <c r="AE48" t="s">
        <v>531</v>
      </c>
      <c r="AJ48" t="s">
        <v>299</v>
      </c>
      <c r="AM48" t="s">
        <v>341</v>
      </c>
      <c r="AN48" t="s">
        <v>127</v>
      </c>
      <c r="AO48" t="s">
        <v>532</v>
      </c>
      <c r="AQ48" t="s">
        <v>533</v>
      </c>
      <c r="AS48" t="s">
        <v>534</v>
      </c>
      <c r="AT48" t="s">
        <v>534</v>
      </c>
      <c r="AU48" t="s">
        <v>535</v>
      </c>
      <c r="AZ48" t="s">
        <v>536</v>
      </c>
      <c r="BA48" t="s">
        <v>534</v>
      </c>
      <c r="BB48" t="s">
        <v>537</v>
      </c>
      <c r="BK48" t="s">
        <v>538</v>
      </c>
      <c r="BP48" t="s">
        <v>539</v>
      </c>
      <c r="BQ48" t="s">
        <v>540</v>
      </c>
      <c r="BR48" t="s">
        <v>529</v>
      </c>
      <c r="BS48" t="s">
        <v>312</v>
      </c>
      <c r="BV48" t="s">
        <v>135</v>
      </c>
      <c r="BW48" t="s">
        <v>541</v>
      </c>
      <c r="BX48" t="s">
        <v>314</v>
      </c>
      <c r="BY48">
        <v>59</v>
      </c>
      <c r="BZ48" t="s">
        <v>315</v>
      </c>
      <c r="CB48" t="s">
        <v>314</v>
      </c>
      <c r="CF48" t="s">
        <v>542</v>
      </c>
    </row>
    <row r="49" spans="1:84" ht="15.75" customHeight="1" x14ac:dyDescent="0.25">
      <c r="A49" s="1" t="s">
        <v>14</v>
      </c>
      <c r="B49" s="8" t="s">
        <v>127</v>
      </c>
      <c r="C49" s="39" t="s">
        <v>138</v>
      </c>
      <c r="D49" s="40">
        <v>39740</v>
      </c>
      <c r="E49" s="35" t="s">
        <v>129</v>
      </c>
      <c r="F49" s="43" t="s">
        <v>139</v>
      </c>
      <c r="G49" s="44">
        <v>5905339397409</v>
      </c>
      <c r="H49" s="45">
        <v>17.16</v>
      </c>
      <c r="I49" s="6">
        <f t="shared" si="0"/>
        <v>21.1068</v>
      </c>
      <c r="J49" s="46">
        <v>22.9</v>
      </c>
      <c r="K49" s="13">
        <v>24.9</v>
      </c>
      <c r="L49" s="47" t="s">
        <v>140</v>
      </c>
      <c r="M49" s="48" t="s">
        <v>132</v>
      </c>
      <c r="N49" s="49" t="s">
        <v>141</v>
      </c>
      <c r="O49" t="s">
        <v>291</v>
      </c>
      <c r="P49" t="s">
        <v>292</v>
      </c>
      <c r="Q49" t="s">
        <v>14</v>
      </c>
      <c r="R49" t="s">
        <v>127</v>
      </c>
      <c r="S49">
        <v>39740</v>
      </c>
      <c r="T49" t="s">
        <v>139</v>
      </c>
      <c r="U49">
        <v>5905339397409</v>
      </c>
      <c r="V49">
        <v>16.899999999999999</v>
      </c>
      <c r="W49">
        <v>0.26</v>
      </c>
      <c r="X49" t="s">
        <v>140</v>
      </c>
      <c r="Y49" t="s">
        <v>132</v>
      </c>
      <c r="Z49" t="s">
        <v>543</v>
      </c>
      <c r="AA49" t="s">
        <v>139</v>
      </c>
      <c r="AB49" t="s">
        <v>544</v>
      </c>
      <c r="AD49" t="s">
        <v>545</v>
      </c>
      <c r="AE49" t="s">
        <v>531</v>
      </c>
      <c r="AF49" t="s">
        <v>297</v>
      </c>
      <c r="AH49" t="s">
        <v>546</v>
      </c>
      <c r="AI49" t="s">
        <v>547</v>
      </c>
      <c r="AJ49" t="s">
        <v>548</v>
      </c>
      <c r="AL49" t="s">
        <v>301</v>
      </c>
      <c r="AM49" t="s">
        <v>341</v>
      </c>
      <c r="AN49" t="s">
        <v>127</v>
      </c>
      <c r="AO49" t="s">
        <v>544</v>
      </c>
      <c r="AU49" t="s">
        <v>549</v>
      </c>
      <c r="AY49" t="s">
        <v>327</v>
      </c>
      <c r="BA49" t="s">
        <v>550</v>
      </c>
      <c r="BB49" t="s">
        <v>551</v>
      </c>
      <c r="BP49" t="s">
        <v>552</v>
      </c>
      <c r="BQ49" t="s">
        <v>553</v>
      </c>
      <c r="BR49" t="s">
        <v>544</v>
      </c>
      <c r="BS49" t="s">
        <v>312</v>
      </c>
      <c r="BV49" t="s">
        <v>139</v>
      </c>
      <c r="BW49" t="s">
        <v>554</v>
      </c>
      <c r="BX49" t="s">
        <v>314</v>
      </c>
      <c r="BY49">
        <v>60</v>
      </c>
      <c r="BZ49" t="s">
        <v>315</v>
      </c>
      <c r="CB49" t="s">
        <v>314</v>
      </c>
      <c r="CF49" t="s">
        <v>555</v>
      </c>
    </row>
    <row r="50" spans="1:84" ht="15.75" customHeight="1" x14ac:dyDescent="0.25">
      <c r="A50" s="8" t="s">
        <v>37</v>
      </c>
      <c r="B50" s="1" t="s">
        <v>142</v>
      </c>
      <c r="C50" s="4" t="str">
        <f t="shared" ref="C50:C55" si="3">CONCATENATE(D50,"/",E50)</f>
        <v>ST057770/LAN</v>
      </c>
      <c r="D50" s="11" t="s">
        <v>143</v>
      </c>
      <c r="E50" s="11" t="s">
        <v>144</v>
      </c>
      <c r="F50" s="4" t="s">
        <v>145</v>
      </c>
      <c r="G50" s="14"/>
      <c r="H50" s="6">
        <v>140</v>
      </c>
      <c r="I50" s="6">
        <f t="shared" si="0"/>
        <v>172.2</v>
      </c>
      <c r="J50" s="6">
        <v>179.9</v>
      </c>
      <c r="K50" s="13">
        <v>231.13</v>
      </c>
      <c r="L50" s="50" t="s">
        <v>146</v>
      </c>
      <c r="M50" s="8"/>
      <c r="N50" s="8"/>
      <c r="O50" t="s">
        <v>291</v>
      </c>
      <c r="P50" t="s">
        <v>292</v>
      </c>
      <c r="Q50" t="s">
        <v>37</v>
      </c>
      <c r="R50" t="s">
        <v>142</v>
      </c>
      <c r="S50" t="s">
        <v>143</v>
      </c>
      <c r="T50" t="s">
        <v>145</v>
      </c>
      <c r="V50">
        <v>140</v>
      </c>
      <c r="X50" t="s">
        <v>146</v>
      </c>
      <c r="Z50" t="s">
        <v>556</v>
      </c>
      <c r="AA50" t="s">
        <v>145</v>
      </c>
      <c r="AB50" t="s">
        <v>557</v>
      </c>
      <c r="AD50" t="s">
        <v>558</v>
      </c>
      <c r="AE50">
        <v>230</v>
      </c>
      <c r="AJ50" t="s">
        <v>559</v>
      </c>
      <c r="AM50" t="s">
        <v>341</v>
      </c>
      <c r="AN50" t="s">
        <v>560</v>
      </c>
      <c r="AP50" t="s">
        <v>561</v>
      </c>
      <c r="AQ50" t="s">
        <v>562</v>
      </c>
      <c r="AS50" t="s">
        <v>563</v>
      </c>
      <c r="AT50" t="s">
        <v>563</v>
      </c>
      <c r="AU50" t="s">
        <v>564</v>
      </c>
      <c r="AV50" t="s">
        <v>565</v>
      </c>
      <c r="AX50" t="s">
        <v>566</v>
      </c>
      <c r="AY50" t="s">
        <v>308</v>
      </c>
      <c r="BA50" t="s">
        <v>563</v>
      </c>
      <c r="BP50" t="s">
        <v>567</v>
      </c>
      <c r="BQ50" t="s">
        <v>568</v>
      </c>
      <c r="BR50" t="s">
        <v>557</v>
      </c>
      <c r="BS50" t="s">
        <v>312</v>
      </c>
      <c r="BV50" t="s">
        <v>145</v>
      </c>
      <c r="BW50" t="s">
        <v>569</v>
      </c>
      <c r="BX50" t="s">
        <v>314</v>
      </c>
      <c r="BY50">
        <v>68</v>
      </c>
      <c r="BZ50" t="s">
        <v>315</v>
      </c>
      <c r="CB50" t="s">
        <v>314</v>
      </c>
      <c r="CF50" t="s">
        <v>570</v>
      </c>
    </row>
    <row r="51" spans="1:84" ht="15.75" customHeight="1" x14ac:dyDescent="0.25">
      <c r="A51" s="8" t="s">
        <v>37</v>
      </c>
      <c r="B51" s="1" t="s">
        <v>142</v>
      </c>
      <c r="C51" s="4" t="str">
        <f t="shared" si="3"/>
        <v>ST081706/LAN</v>
      </c>
      <c r="D51" s="11" t="s">
        <v>147</v>
      </c>
      <c r="E51" s="11" t="s">
        <v>144</v>
      </c>
      <c r="F51" s="4" t="s">
        <v>148</v>
      </c>
      <c r="G51" s="14"/>
      <c r="H51" s="6">
        <v>140</v>
      </c>
      <c r="I51" s="6">
        <f t="shared" si="0"/>
        <v>172.2</v>
      </c>
      <c r="J51" s="6">
        <v>179.9</v>
      </c>
      <c r="K51" s="13">
        <v>231.13</v>
      </c>
      <c r="L51" s="50" t="s">
        <v>149</v>
      </c>
      <c r="M51" s="8"/>
      <c r="N51" s="8"/>
      <c r="O51" t="s">
        <v>291</v>
      </c>
      <c r="P51" t="s">
        <v>292</v>
      </c>
      <c r="Q51" t="s">
        <v>37</v>
      </c>
      <c r="R51" t="s">
        <v>142</v>
      </c>
      <c r="S51" t="s">
        <v>147</v>
      </c>
      <c r="T51" t="s">
        <v>148</v>
      </c>
      <c r="V51">
        <v>140</v>
      </c>
      <c r="X51" t="s">
        <v>149</v>
      </c>
      <c r="Z51" t="s">
        <v>571</v>
      </c>
      <c r="AA51" t="s">
        <v>148</v>
      </c>
      <c r="AB51" t="s">
        <v>557</v>
      </c>
      <c r="AD51" t="s">
        <v>558</v>
      </c>
      <c r="AE51">
        <v>230</v>
      </c>
      <c r="AJ51" t="s">
        <v>559</v>
      </c>
      <c r="AM51" t="s">
        <v>355</v>
      </c>
      <c r="AN51" t="s">
        <v>560</v>
      </c>
      <c r="AP51" t="s">
        <v>561</v>
      </c>
      <c r="AQ51" t="s">
        <v>562</v>
      </c>
      <c r="AS51" t="s">
        <v>563</v>
      </c>
      <c r="AT51" t="s">
        <v>563</v>
      </c>
      <c r="AU51" t="s">
        <v>564</v>
      </c>
      <c r="AV51" t="s">
        <v>565</v>
      </c>
      <c r="AX51" t="s">
        <v>566</v>
      </c>
      <c r="AY51" t="s">
        <v>308</v>
      </c>
      <c r="BA51" t="s">
        <v>563</v>
      </c>
      <c r="BP51" t="s">
        <v>567</v>
      </c>
      <c r="BQ51" t="s">
        <v>568</v>
      </c>
      <c r="BR51" t="s">
        <v>557</v>
      </c>
      <c r="BS51" t="s">
        <v>312</v>
      </c>
      <c r="BV51" t="s">
        <v>148</v>
      </c>
      <c r="BW51" t="s">
        <v>572</v>
      </c>
      <c r="BX51" t="s">
        <v>314</v>
      </c>
      <c r="BY51">
        <v>69</v>
      </c>
      <c r="BZ51" t="s">
        <v>315</v>
      </c>
      <c r="CB51" t="s">
        <v>314</v>
      </c>
      <c r="CF51" t="s">
        <v>573</v>
      </c>
    </row>
    <row r="52" spans="1:84" ht="15.75" customHeight="1" x14ac:dyDescent="0.25">
      <c r="A52" s="8" t="s">
        <v>37</v>
      </c>
      <c r="B52" s="1" t="s">
        <v>142</v>
      </c>
      <c r="C52" s="4" t="str">
        <f t="shared" si="3"/>
        <v>FL06381216/LAN</v>
      </c>
      <c r="D52" s="51" t="s">
        <v>150</v>
      </c>
      <c r="E52" s="11" t="s">
        <v>144</v>
      </c>
      <c r="F52" s="4" t="s">
        <v>151</v>
      </c>
      <c r="G52" s="14"/>
      <c r="H52" s="6">
        <v>139</v>
      </c>
      <c r="I52" s="6">
        <f t="shared" si="0"/>
        <v>170.97</v>
      </c>
      <c r="J52" s="6">
        <v>179.9</v>
      </c>
      <c r="K52" s="13">
        <v>236.84</v>
      </c>
      <c r="L52" s="4"/>
      <c r="M52" s="8"/>
      <c r="N52" s="8"/>
      <c r="O52" t="s">
        <v>291</v>
      </c>
      <c r="P52" t="s">
        <v>292</v>
      </c>
      <c r="Q52" t="s">
        <v>37</v>
      </c>
      <c r="R52" t="s">
        <v>142</v>
      </c>
      <c r="S52" t="s">
        <v>150</v>
      </c>
      <c r="T52" t="s">
        <v>151</v>
      </c>
      <c r="V52">
        <v>139</v>
      </c>
      <c r="Z52" t="s">
        <v>574</v>
      </c>
      <c r="AA52" t="s">
        <v>151</v>
      </c>
      <c r="AB52" t="s">
        <v>575</v>
      </c>
      <c r="AE52" t="s">
        <v>576</v>
      </c>
      <c r="AN52" t="s">
        <v>577</v>
      </c>
      <c r="AO52" t="s">
        <v>578</v>
      </c>
      <c r="BP52" t="s">
        <v>579</v>
      </c>
      <c r="BQ52" t="s">
        <v>580</v>
      </c>
      <c r="BR52" t="s">
        <v>575</v>
      </c>
      <c r="BS52" t="s">
        <v>312</v>
      </c>
      <c r="BV52" t="s">
        <v>151</v>
      </c>
      <c r="BW52" t="s">
        <v>581</v>
      </c>
      <c r="BX52" t="s">
        <v>314</v>
      </c>
      <c r="BY52">
        <v>70</v>
      </c>
      <c r="BZ52" t="s">
        <v>315</v>
      </c>
      <c r="CB52" t="s">
        <v>314</v>
      </c>
      <c r="CF52" t="s">
        <v>582</v>
      </c>
    </row>
    <row r="53" spans="1:84" ht="15.75" customHeight="1" x14ac:dyDescent="0.25">
      <c r="A53" s="8" t="s">
        <v>37</v>
      </c>
      <c r="B53" s="1" t="s">
        <v>142</v>
      </c>
      <c r="C53" s="4" t="str">
        <f t="shared" si="3"/>
        <v>FL58095095/LAN</v>
      </c>
      <c r="D53" s="11" t="s">
        <v>152</v>
      </c>
      <c r="E53" s="11" t="s">
        <v>144</v>
      </c>
      <c r="F53" s="4" t="s">
        <v>153</v>
      </c>
      <c r="G53" s="14"/>
      <c r="H53" s="6">
        <v>199</v>
      </c>
      <c r="I53" s="6">
        <f t="shared" si="0"/>
        <v>244.77</v>
      </c>
      <c r="J53" s="6">
        <v>249.9</v>
      </c>
      <c r="K53" s="7">
        <v>279.89999999999998</v>
      </c>
      <c r="L53" s="4"/>
      <c r="M53" s="8"/>
      <c r="N53" s="8"/>
      <c r="O53" t="s">
        <v>291</v>
      </c>
      <c r="P53" t="s">
        <v>292</v>
      </c>
      <c r="Q53" t="s">
        <v>37</v>
      </c>
      <c r="R53" t="s">
        <v>142</v>
      </c>
      <c r="S53" t="s">
        <v>152</v>
      </c>
      <c r="T53" t="s">
        <v>153</v>
      </c>
      <c r="V53">
        <v>199</v>
      </c>
      <c r="Z53" t="s">
        <v>583</v>
      </c>
      <c r="AA53" t="s">
        <v>153</v>
      </c>
      <c r="AB53" t="s">
        <v>584</v>
      </c>
      <c r="AD53" t="s">
        <v>585</v>
      </c>
      <c r="AE53" t="s">
        <v>586</v>
      </c>
      <c r="AN53" t="s">
        <v>142</v>
      </c>
      <c r="AO53" t="s">
        <v>587</v>
      </c>
      <c r="AS53" t="s">
        <v>588</v>
      </c>
      <c r="BB53" t="s">
        <v>372</v>
      </c>
      <c r="BP53" t="s">
        <v>589</v>
      </c>
      <c r="BQ53" t="s">
        <v>590</v>
      </c>
      <c r="BR53" t="s">
        <v>584</v>
      </c>
      <c r="BS53" t="s">
        <v>312</v>
      </c>
      <c r="BV53" t="s">
        <v>153</v>
      </c>
      <c r="BW53" t="s">
        <v>591</v>
      </c>
      <c r="BX53" t="s">
        <v>314</v>
      </c>
      <c r="BY53">
        <v>77</v>
      </c>
      <c r="BZ53" t="s">
        <v>315</v>
      </c>
      <c r="CB53" t="s">
        <v>314</v>
      </c>
      <c r="CF53" t="s">
        <v>592</v>
      </c>
    </row>
    <row r="54" spans="1:84" ht="15.75" customHeight="1" x14ac:dyDescent="0.25">
      <c r="A54" s="8" t="s">
        <v>37</v>
      </c>
      <c r="B54" s="1" t="s">
        <v>142</v>
      </c>
      <c r="C54" s="4" t="str">
        <f t="shared" si="3"/>
        <v>FL41792191/LAN</v>
      </c>
      <c r="D54" s="51" t="s">
        <v>154</v>
      </c>
      <c r="E54" s="11" t="s">
        <v>144</v>
      </c>
      <c r="F54" s="4" t="s">
        <v>155</v>
      </c>
      <c r="G54" s="14"/>
      <c r="H54" s="6">
        <v>35</v>
      </c>
      <c r="I54" s="6">
        <f t="shared" si="0"/>
        <v>43.05</v>
      </c>
      <c r="J54" s="6">
        <v>44.9</v>
      </c>
      <c r="K54" s="7">
        <v>49.9</v>
      </c>
      <c r="L54" s="4"/>
      <c r="M54" s="8"/>
      <c r="N54" s="8"/>
      <c r="O54" t="s">
        <v>291</v>
      </c>
      <c r="P54" t="s">
        <v>292</v>
      </c>
      <c r="Q54" t="s">
        <v>37</v>
      </c>
      <c r="R54" t="s">
        <v>142</v>
      </c>
      <c r="S54" t="s">
        <v>154</v>
      </c>
      <c r="T54" t="s">
        <v>155</v>
      </c>
      <c r="V54">
        <v>35</v>
      </c>
      <c r="Z54" t="s">
        <v>593</v>
      </c>
      <c r="AA54" t="s">
        <v>155</v>
      </c>
      <c r="AB54" t="s">
        <v>594</v>
      </c>
      <c r="AE54" t="s">
        <v>595</v>
      </c>
      <c r="AN54" t="s">
        <v>577</v>
      </c>
      <c r="AO54" t="s">
        <v>587</v>
      </c>
      <c r="AS54" t="s">
        <v>596</v>
      </c>
      <c r="AY54" t="s">
        <v>597</v>
      </c>
      <c r="BB54" t="s">
        <v>598</v>
      </c>
      <c r="BP54" t="s">
        <v>599</v>
      </c>
      <c r="BQ54" t="s">
        <v>600</v>
      </c>
      <c r="BR54" t="s">
        <v>594</v>
      </c>
      <c r="BS54" t="s">
        <v>312</v>
      </c>
      <c r="BV54" t="s">
        <v>155</v>
      </c>
      <c r="BW54" t="s">
        <v>601</v>
      </c>
      <c r="BX54" t="s">
        <v>314</v>
      </c>
      <c r="BY54">
        <v>60</v>
      </c>
      <c r="BZ54" t="s">
        <v>315</v>
      </c>
      <c r="CB54" t="s">
        <v>314</v>
      </c>
      <c r="CF54" t="s">
        <v>602</v>
      </c>
    </row>
    <row r="55" spans="1:84" ht="15.75" customHeight="1" x14ac:dyDescent="0.25">
      <c r="A55" s="8" t="s">
        <v>37</v>
      </c>
      <c r="B55" s="1" t="s">
        <v>156</v>
      </c>
      <c r="C55" s="4" t="str">
        <f t="shared" si="3"/>
        <v>4058075763241/LDV</v>
      </c>
      <c r="D55" s="52">
        <v>4058075763241</v>
      </c>
      <c r="E55" s="3" t="s">
        <v>157</v>
      </c>
      <c r="F55" s="4" t="s">
        <v>158</v>
      </c>
      <c r="G55" s="3">
        <v>4058075763241</v>
      </c>
      <c r="H55" s="6">
        <v>176</v>
      </c>
      <c r="I55" s="6">
        <f t="shared" si="0"/>
        <v>216.48</v>
      </c>
      <c r="J55" s="6">
        <v>219.9</v>
      </c>
      <c r="K55" s="7">
        <v>249.9</v>
      </c>
      <c r="L55" s="17" t="s">
        <v>159</v>
      </c>
      <c r="M55" s="8" t="s">
        <v>20</v>
      </c>
      <c r="N55" s="8"/>
      <c r="O55" t="s">
        <v>291</v>
      </c>
      <c r="P55" t="s">
        <v>292</v>
      </c>
      <c r="Q55" t="s">
        <v>37</v>
      </c>
      <c r="R55" t="s">
        <v>156</v>
      </c>
      <c r="S55">
        <v>4058075763241</v>
      </c>
      <c r="T55" t="s">
        <v>158</v>
      </c>
      <c r="U55">
        <v>4058075763241</v>
      </c>
      <c r="V55">
        <v>176</v>
      </c>
      <c r="X55" t="s">
        <v>159</v>
      </c>
      <c r="Y55" t="s">
        <v>20</v>
      </c>
      <c r="Z55" t="s">
        <v>603</v>
      </c>
      <c r="AA55" t="s">
        <v>158</v>
      </c>
      <c r="AB55" t="s">
        <v>529</v>
      </c>
      <c r="AD55" t="s">
        <v>604</v>
      </c>
      <c r="AE55" t="s">
        <v>605</v>
      </c>
      <c r="AF55" t="s">
        <v>606</v>
      </c>
      <c r="AH55" t="s">
        <v>607</v>
      </c>
      <c r="AI55" t="s">
        <v>608</v>
      </c>
      <c r="AJ55" t="s">
        <v>548</v>
      </c>
      <c r="AL55" t="s">
        <v>609</v>
      </c>
      <c r="AM55" t="s">
        <v>355</v>
      </c>
      <c r="AN55" t="s">
        <v>156</v>
      </c>
      <c r="AO55" t="s">
        <v>610</v>
      </c>
      <c r="AQ55" t="s">
        <v>611</v>
      </c>
      <c r="AS55" t="s">
        <v>612</v>
      </c>
      <c r="AT55" t="s">
        <v>612</v>
      </c>
      <c r="AU55" t="s">
        <v>613</v>
      </c>
      <c r="AY55" t="s">
        <v>614</v>
      </c>
      <c r="BB55" t="s">
        <v>615</v>
      </c>
      <c r="BP55" t="s">
        <v>616</v>
      </c>
      <c r="BQ55" t="s">
        <v>617</v>
      </c>
      <c r="BR55" t="s">
        <v>529</v>
      </c>
      <c r="BS55" t="s">
        <v>312</v>
      </c>
      <c r="BV55" t="s">
        <v>158</v>
      </c>
      <c r="BW55" t="s">
        <v>618</v>
      </c>
      <c r="BX55" t="s">
        <v>314</v>
      </c>
      <c r="BY55">
        <v>89</v>
      </c>
      <c r="BZ55" t="s">
        <v>315</v>
      </c>
      <c r="CB55" t="s">
        <v>314</v>
      </c>
      <c r="CF55" t="s">
        <v>619</v>
      </c>
    </row>
    <row r="56" spans="1:84" ht="15.75" customHeight="1" x14ac:dyDescent="0.25">
      <c r="A56" s="1" t="s">
        <v>14</v>
      </c>
      <c r="B56" s="1" t="s">
        <v>156</v>
      </c>
      <c r="C56" s="2" t="s">
        <v>160</v>
      </c>
      <c r="D56" s="52">
        <v>4099854487026</v>
      </c>
      <c r="E56" s="3" t="s">
        <v>157</v>
      </c>
      <c r="F56" s="4" t="s">
        <v>161</v>
      </c>
      <c r="G56" s="5">
        <v>4099854487026</v>
      </c>
      <c r="H56" s="6">
        <v>79</v>
      </c>
      <c r="I56" s="6">
        <f t="shared" si="0"/>
        <v>97.17</v>
      </c>
      <c r="J56" s="6">
        <v>99.9</v>
      </c>
      <c r="K56" s="7">
        <v>119.9</v>
      </c>
      <c r="L56" s="17" t="s">
        <v>159</v>
      </c>
      <c r="M56" s="8" t="s">
        <v>20</v>
      </c>
      <c r="N56" s="8"/>
      <c r="O56" t="s">
        <v>291</v>
      </c>
      <c r="P56" t="s">
        <v>292</v>
      </c>
      <c r="Q56" t="s">
        <v>14</v>
      </c>
      <c r="R56" t="s">
        <v>156</v>
      </c>
      <c r="S56">
        <v>4099854487026</v>
      </c>
      <c r="T56" t="s">
        <v>161</v>
      </c>
      <c r="U56">
        <v>4099854487026</v>
      </c>
      <c r="V56">
        <v>79</v>
      </c>
      <c r="X56" t="s">
        <v>159</v>
      </c>
      <c r="Y56" t="s">
        <v>20</v>
      </c>
      <c r="Z56" t="s">
        <v>620</v>
      </c>
      <c r="AA56" t="s">
        <v>161</v>
      </c>
      <c r="AB56" t="s">
        <v>621</v>
      </c>
      <c r="AD56" t="s">
        <v>622</v>
      </c>
      <c r="AE56" t="s">
        <v>464</v>
      </c>
      <c r="AF56" t="s">
        <v>297</v>
      </c>
      <c r="AH56" t="s">
        <v>623</v>
      </c>
      <c r="AJ56" t="s">
        <v>548</v>
      </c>
      <c r="AK56" t="s">
        <v>624</v>
      </c>
      <c r="AL56" t="s">
        <v>625</v>
      </c>
      <c r="AN56" t="s">
        <v>156</v>
      </c>
      <c r="AO56" t="s">
        <v>626</v>
      </c>
      <c r="AS56" t="s">
        <v>627</v>
      </c>
      <c r="AY56" t="s">
        <v>327</v>
      </c>
      <c r="BB56" t="s">
        <v>628</v>
      </c>
      <c r="BP56" t="s">
        <v>629</v>
      </c>
      <c r="BQ56" t="s">
        <v>630</v>
      </c>
      <c r="BR56" t="s">
        <v>621</v>
      </c>
      <c r="BS56" t="s">
        <v>312</v>
      </c>
      <c r="BV56" t="s">
        <v>161</v>
      </c>
      <c r="BW56" t="s">
        <v>631</v>
      </c>
      <c r="BX56" t="s">
        <v>314</v>
      </c>
      <c r="BY56">
        <v>67</v>
      </c>
      <c r="BZ56" t="s">
        <v>315</v>
      </c>
      <c r="CB56" t="s">
        <v>314</v>
      </c>
      <c r="CF56" t="s">
        <v>632</v>
      </c>
    </row>
    <row r="57" spans="1:84" ht="15.75" customHeight="1" x14ac:dyDescent="0.25">
      <c r="A57" s="8" t="s">
        <v>37</v>
      </c>
      <c r="B57" s="1" t="s">
        <v>156</v>
      </c>
      <c r="C57" s="4" t="str">
        <f>CONCATENATE(D57,"/",E57)</f>
        <v>4099854236792/LDV</v>
      </c>
      <c r="D57" s="52">
        <v>4099854236792</v>
      </c>
      <c r="E57" s="3" t="s">
        <v>157</v>
      </c>
      <c r="F57" s="4" t="s">
        <v>162</v>
      </c>
      <c r="G57" s="5">
        <v>4099854236792</v>
      </c>
      <c r="H57" s="6">
        <v>35</v>
      </c>
      <c r="I57" s="6">
        <f t="shared" si="0"/>
        <v>43.05</v>
      </c>
      <c r="J57" s="6">
        <v>44.9</v>
      </c>
      <c r="K57" s="7">
        <v>49.9</v>
      </c>
      <c r="L57" s="17" t="s">
        <v>159</v>
      </c>
      <c r="M57" s="8" t="s">
        <v>20</v>
      </c>
      <c r="N57" s="8"/>
      <c r="O57" t="s">
        <v>291</v>
      </c>
      <c r="P57" t="s">
        <v>292</v>
      </c>
      <c r="Q57" t="s">
        <v>37</v>
      </c>
      <c r="R57" t="s">
        <v>156</v>
      </c>
      <c r="S57">
        <v>4099854236792</v>
      </c>
      <c r="T57" t="s">
        <v>162</v>
      </c>
      <c r="U57">
        <v>4099854236792</v>
      </c>
      <c r="V57">
        <v>35</v>
      </c>
      <c r="X57" t="s">
        <v>159</v>
      </c>
      <c r="Y57" t="s">
        <v>20</v>
      </c>
      <c r="Z57" t="s">
        <v>633</v>
      </c>
      <c r="AA57" t="s">
        <v>162</v>
      </c>
      <c r="AB57" t="s">
        <v>634</v>
      </c>
      <c r="AD57" t="s">
        <v>635</v>
      </c>
      <c r="AE57" t="s">
        <v>636</v>
      </c>
      <c r="AF57" t="s">
        <v>637</v>
      </c>
      <c r="AH57" t="s">
        <v>638</v>
      </c>
      <c r="AI57" t="s">
        <v>639</v>
      </c>
      <c r="AM57" t="s">
        <v>640</v>
      </c>
      <c r="AN57" t="s">
        <v>156</v>
      </c>
      <c r="AU57" t="s">
        <v>641</v>
      </c>
      <c r="AV57" t="s">
        <v>565</v>
      </c>
      <c r="AY57" t="s">
        <v>308</v>
      </c>
      <c r="AZ57" t="s">
        <v>536</v>
      </c>
      <c r="BA57" t="s">
        <v>642</v>
      </c>
      <c r="BP57" t="s">
        <v>643</v>
      </c>
      <c r="BQ57" t="s">
        <v>644</v>
      </c>
      <c r="BR57" t="s">
        <v>634</v>
      </c>
      <c r="BS57" t="s">
        <v>312</v>
      </c>
      <c r="BV57" t="s">
        <v>162</v>
      </c>
      <c r="BW57" t="s">
        <v>645</v>
      </c>
      <c r="BX57" t="s">
        <v>314</v>
      </c>
      <c r="BY57">
        <v>83</v>
      </c>
      <c r="BZ57" t="s">
        <v>315</v>
      </c>
      <c r="CB57" t="s">
        <v>314</v>
      </c>
      <c r="CF57" t="s">
        <v>646</v>
      </c>
    </row>
    <row r="58" spans="1:84" ht="15.75" customHeight="1" x14ac:dyDescent="0.25">
      <c r="A58" s="1" t="s">
        <v>14</v>
      </c>
      <c r="B58" s="1" t="s">
        <v>156</v>
      </c>
      <c r="C58" s="2" t="s">
        <v>163</v>
      </c>
      <c r="D58" s="52">
        <v>4099854725623</v>
      </c>
      <c r="E58" s="3" t="s">
        <v>157</v>
      </c>
      <c r="F58" s="4" t="s">
        <v>164</v>
      </c>
      <c r="G58" s="5">
        <v>4099854725623</v>
      </c>
      <c r="H58" s="6">
        <v>78</v>
      </c>
      <c r="I58" s="6">
        <f t="shared" si="0"/>
        <v>95.94</v>
      </c>
      <c r="J58" s="6">
        <v>98.9</v>
      </c>
      <c r="K58" s="7">
        <v>114.9</v>
      </c>
      <c r="L58" s="17" t="s">
        <v>159</v>
      </c>
      <c r="M58" s="8" t="s">
        <v>20</v>
      </c>
      <c r="N58" s="8"/>
      <c r="O58" t="s">
        <v>291</v>
      </c>
      <c r="P58" t="s">
        <v>292</v>
      </c>
      <c r="Q58" t="s">
        <v>14</v>
      </c>
      <c r="R58" t="s">
        <v>156</v>
      </c>
      <c r="S58">
        <v>4099854725623</v>
      </c>
      <c r="T58" t="s">
        <v>164</v>
      </c>
      <c r="U58">
        <v>4099854725623</v>
      </c>
      <c r="V58">
        <v>78</v>
      </c>
      <c r="X58" t="s">
        <v>159</v>
      </c>
      <c r="Y58" t="s">
        <v>20</v>
      </c>
      <c r="Z58" t="s">
        <v>647</v>
      </c>
      <c r="AA58" t="s">
        <v>164</v>
      </c>
      <c r="AB58" t="s">
        <v>294</v>
      </c>
      <c r="AD58" t="s">
        <v>648</v>
      </c>
      <c r="AE58" t="s">
        <v>464</v>
      </c>
      <c r="AF58" t="s">
        <v>649</v>
      </c>
      <c r="AG58" t="s">
        <v>649</v>
      </c>
      <c r="AH58" t="s">
        <v>650</v>
      </c>
      <c r="AI58" t="s">
        <v>651</v>
      </c>
      <c r="AJ58" t="s">
        <v>299</v>
      </c>
      <c r="AK58" t="s">
        <v>300</v>
      </c>
      <c r="AL58" t="s">
        <v>652</v>
      </c>
      <c r="AM58" t="s">
        <v>302</v>
      </c>
      <c r="AN58" t="s">
        <v>156</v>
      </c>
      <c r="AO58" t="s">
        <v>653</v>
      </c>
      <c r="AQ58" t="s">
        <v>654</v>
      </c>
      <c r="AS58" t="s">
        <v>655</v>
      </c>
      <c r="AT58" t="s">
        <v>656</v>
      </c>
      <c r="AU58" t="s">
        <v>657</v>
      </c>
      <c r="BB58" t="s">
        <v>658</v>
      </c>
      <c r="BE58" t="s">
        <v>659</v>
      </c>
      <c r="BP58" t="s">
        <v>660</v>
      </c>
      <c r="BQ58" t="s">
        <v>661</v>
      </c>
      <c r="BR58" t="s">
        <v>294</v>
      </c>
      <c r="BS58" t="s">
        <v>312</v>
      </c>
      <c r="BV58" t="s">
        <v>164</v>
      </c>
      <c r="BW58" t="s">
        <v>662</v>
      </c>
      <c r="BX58" t="s">
        <v>314</v>
      </c>
      <c r="BY58">
        <v>95</v>
      </c>
      <c r="BZ58" t="s">
        <v>315</v>
      </c>
      <c r="CB58" t="s">
        <v>314</v>
      </c>
      <c r="CF58" t="s">
        <v>663</v>
      </c>
    </row>
    <row r="59" spans="1:84" ht="15.75" customHeight="1" x14ac:dyDescent="0.25">
      <c r="A59" s="8"/>
      <c r="B59" s="1" t="s">
        <v>165</v>
      </c>
      <c r="C59" s="4" t="str">
        <f t="shared" ref="C59:C67" si="4">CONCATENATE(D59,"/",E59)</f>
        <v>MAA5016A11/MOR</v>
      </c>
      <c r="D59" s="10" t="s">
        <v>166</v>
      </c>
      <c r="E59" s="4" t="s">
        <v>167</v>
      </c>
      <c r="F59" s="4" t="s">
        <v>168</v>
      </c>
      <c r="G59" s="14"/>
      <c r="H59" s="6">
        <v>45.11</v>
      </c>
      <c r="I59" s="6">
        <f t="shared" si="0"/>
        <v>55.485299999999995</v>
      </c>
      <c r="J59" s="53">
        <v>56.9</v>
      </c>
      <c r="K59" s="7">
        <v>63.9</v>
      </c>
      <c r="L59" s="4"/>
      <c r="M59" s="8"/>
      <c r="N59" s="8"/>
      <c r="O59" t="s">
        <v>291</v>
      </c>
      <c r="P59" t="s">
        <v>292</v>
      </c>
      <c r="R59" t="s">
        <v>165</v>
      </c>
      <c r="S59" t="s">
        <v>166</v>
      </c>
      <c r="T59" t="s">
        <v>168</v>
      </c>
      <c r="Z59" t="s">
        <v>664</v>
      </c>
      <c r="AA59" t="s">
        <v>168</v>
      </c>
      <c r="AB59" t="s">
        <v>665</v>
      </c>
      <c r="AE59" t="s">
        <v>586</v>
      </c>
      <c r="AM59" t="s">
        <v>666</v>
      </c>
      <c r="AN59" t="s">
        <v>165</v>
      </c>
      <c r="AO59" t="s">
        <v>667</v>
      </c>
      <c r="AP59" t="s">
        <v>668</v>
      </c>
      <c r="AQ59" t="s">
        <v>669</v>
      </c>
      <c r="AS59" t="s">
        <v>670</v>
      </c>
      <c r="AT59" t="s">
        <v>404</v>
      </c>
      <c r="AU59" t="s">
        <v>521</v>
      </c>
      <c r="BB59" t="s">
        <v>671</v>
      </c>
      <c r="BE59">
        <v>82</v>
      </c>
      <c r="BP59" t="s">
        <v>672</v>
      </c>
      <c r="BQ59" t="s">
        <v>673</v>
      </c>
      <c r="BR59" t="s">
        <v>665</v>
      </c>
      <c r="BS59" t="s">
        <v>312</v>
      </c>
      <c r="BV59" t="s">
        <v>168</v>
      </c>
      <c r="BW59" t="s">
        <v>674</v>
      </c>
      <c r="BX59" t="s">
        <v>314</v>
      </c>
      <c r="BY59">
        <v>93</v>
      </c>
      <c r="BZ59" t="s">
        <v>315</v>
      </c>
      <c r="CB59" t="s">
        <v>314</v>
      </c>
      <c r="CF59" t="s">
        <v>675</v>
      </c>
    </row>
    <row r="60" spans="1:84" ht="15.75" customHeight="1" x14ac:dyDescent="0.25">
      <c r="A60" s="8"/>
      <c r="B60" s="1" t="s">
        <v>165</v>
      </c>
      <c r="C60" s="4" t="str">
        <f t="shared" si="4"/>
        <v>MAA5050A10/MOR</v>
      </c>
      <c r="D60" s="10" t="s">
        <v>169</v>
      </c>
      <c r="E60" s="4" t="s">
        <v>167</v>
      </c>
      <c r="F60" s="4" t="s">
        <v>170</v>
      </c>
      <c r="G60" s="14"/>
      <c r="H60" s="6">
        <v>57.35</v>
      </c>
      <c r="I60" s="6">
        <f t="shared" si="0"/>
        <v>70.540499999999994</v>
      </c>
      <c r="J60" s="53">
        <v>72.900000000000006</v>
      </c>
      <c r="K60" s="7">
        <v>79.900000000000006</v>
      </c>
      <c r="L60" s="4"/>
      <c r="M60" s="8"/>
      <c r="N60" s="8"/>
      <c r="O60" t="s">
        <v>291</v>
      </c>
      <c r="P60" t="s">
        <v>292</v>
      </c>
      <c r="R60" t="s">
        <v>165</v>
      </c>
      <c r="S60" t="s">
        <v>169</v>
      </c>
      <c r="T60" t="s">
        <v>170</v>
      </c>
      <c r="Z60" t="s">
        <v>676</v>
      </c>
      <c r="AA60" t="s">
        <v>170</v>
      </c>
      <c r="AB60" t="s">
        <v>665</v>
      </c>
      <c r="AE60" t="s">
        <v>586</v>
      </c>
      <c r="AM60" t="s">
        <v>666</v>
      </c>
      <c r="AN60" t="s">
        <v>165</v>
      </c>
      <c r="AO60" t="s">
        <v>667</v>
      </c>
      <c r="AP60" t="s">
        <v>677</v>
      </c>
      <c r="AQ60" t="s">
        <v>678</v>
      </c>
      <c r="AS60" t="s">
        <v>534</v>
      </c>
      <c r="AT60" t="s">
        <v>679</v>
      </c>
      <c r="AU60" t="s">
        <v>680</v>
      </c>
      <c r="BB60" t="s">
        <v>681</v>
      </c>
      <c r="BE60">
        <v>160</v>
      </c>
      <c r="BP60" t="s">
        <v>672</v>
      </c>
      <c r="BQ60" t="s">
        <v>673</v>
      </c>
      <c r="BR60" t="s">
        <v>665</v>
      </c>
      <c r="BS60" t="s">
        <v>312</v>
      </c>
      <c r="BV60" t="s">
        <v>170</v>
      </c>
      <c r="BW60" t="s">
        <v>682</v>
      </c>
      <c r="BX60" t="s">
        <v>314</v>
      </c>
      <c r="BY60">
        <v>93</v>
      </c>
      <c r="BZ60" t="s">
        <v>315</v>
      </c>
      <c r="CB60" t="s">
        <v>314</v>
      </c>
      <c r="CF60" t="s">
        <v>683</v>
      </c>
    </row>
    <row r="61" spans="1:84" ht="15.75" customHeight="1" x14ac:dyDescent="0.25">
      <c r="A61" s="8"/>
      <c r="B61" s="1" t="s">
        <v>165</v>
      </c>
      <c r="C61" s="4" t="str">
        <f t="shared" si="4"/>
        <v>MAA5095A10/MOR</v>
      </c>
      <c r="D61" s="10" t="s">
        <v>171</v>
      </c>
      <c r="E61" s="4" t="s">
        <v>167</v>
      </c>
      <c r="F61" s="4" t="s">
        <v>172</v>
      </c>
      <c r="G61" s="14"/>
      <c r="H61" s="6">
        <v>113.79</v>
      </c>
      <c r="I61" s="6">
        <f t="shared" si="0"/>
        <v>139.96170000000001</v>
      </c>
      <c r="J61" s="53">
        <v>143.9</v>
      </c>
      <c r="K61" s="7">
        <v>159.9</v>
      </c>
      <c r="L61" s="4"/>
      <c r="M61" s="8"/>
      <c r="N61" s="8"/>
      <c r="O61" t="s">
        <v>291</v>
      </c>
      <c r="P61" t="s">
        <v>292</v>
      </c>
      <c r="R61" t="s">
        <v>165</v>
      </c>
      <c r="S61" t="s">
        <v>171</v>
      </c>
      <c r="T61" t="s">
        <v>172</v>
      </c>
      <c r="Z61" t="s">
        <v>684</v>
      </c>
      <c r="AA61" t="s">
        <v>172</v>
      </c>
      <c r="AB61" t="s">
        <v>665</v>
      </c>
      <c r="AE61" t="s">
        <v>586</v>
      </c>
      <c r="AM61" t="s">
        <v>302</v>
      </c>
      <c r="AN61" t="s">
        <v>165</v>
      </c>
      <c r="AO61" t="s">
        <v>667</v>
      </c>
      <c r="AP61" t="s">
        <v>685</v>
      </c>
      <c r="AQ61" t="s">
        <v>686</v>
      </c>
      <c r="AS61" t="s">
        <v>687</v>
      </c>
      <c r="AT61" t="s">
        <v>457</v>
      </c>
      <c r="AU61" t="s">
        <v>688</v>
      </c>
      <c r="BB61" t="s">
        <v>671</v>
      </c>
      <c r="BE61">
        <v>245</v>
      </c>
      <c r="BP61" t="s">
        <v>672</v>
      </c>
      <c r="BQ61" t="s">
        <v>673</v>
      </c>
      <c r="BR61" t="s">
        <v>665</v>
      </c>
      <c r="BS61" t="s">
        <v>312</v>
      </c>
      <c r="BV61" t="s">
        <v>172</v>
      </c>
      <c r="BW61" t="s">
        <v>689</v>
      </c>
      <c r="BX61" t="s">
        <v>314</v>
      </c>
      <c r="BY61">
        <v>85</v>
      </c>
      <c r="BZ61" t="s">
        <v>315</v>
      </c>
      <c r="CB61" t="s">
        <v>314</v>
      </c>
      <c r="CF61" t="s">
        <v>690</v>
      </c>
    </row>
    <row r="62" spans="1:84" ht="15.75" customHeight="1" x14ac:dyDescent="0.25">
      <c r="A62" s="8"/>
      <c r="B62" s="1" t="s">
        <v>165</v>
      </c>
      <c r="C62" s="4" t="str">
        <f t="shared" si="4"/>
        <v>MAG1251A00/MOR</v>
      </c>
      <c r="D62" s="10" t="s">
        <v>173</v>
      </c>
      <c r="E62" s="4" t="s">
        <v>167</v>
      </c>
      <c r="F62" s="4" t="s">
        <v>174</v>
      </c>
      <c r="G62" s="14"/>
      <c r="H62" s="6">
        <v>8.5500000000000007</v>
      </c>
      <c r="I62" s="6">
        <f t="shared" si="0"/>
        <v>10.516500000000001</v>
      </c>
      <c r="J62" s="53">
        <v>10.99</v>
      </c>
      <c r="K62" s="7">
        <v>12.99</v>
      </c>
      <c r="L62" s="4"/>
      <c r="M62" s="8"/>
      <c r="N62" s="8"/>
      <c r="O62" t="s">
        <v>291</v>
      </c>
      <c r="P62" t="s">
        <v>292</v>
      </c>
      <c r="R62" t="s">
        <v>165</v>
      </c>
      <c r="S62" t="s">
        <v>173</v>
      </c>
      <c r="T62" t="s">
        <v>174</v>
      </c>
      <c r="Z62" t="s">
        <v>691</v>
      </c>
      <c r="AA62" t="s">
        <v>174</v>
      </c>
      <c r="AB62" t="s">
        <v>692</v>
      </c>
      <c r="AM62" t="s">
        <v>302</v>
      </c>
      <c r="AN62" t="s">
        <v>165</v>
      </c>
      <c r="AO62" t="s">
        <v>693</v>
      </c>
      <c r="AP62" t="s">
        <v>694</v>
      </c>
      <c r="AT62" t="s">
        <v>695</v>
      </c>
      <c r="AU62" t="s">
        <v>696</v>
      </c>
      <c r="BE62">
        <v>100</v>
      </c>
      <c r="BG62">
        <v>1</v>
      </c>
      <c r="BP62" t="s">
        <v>697</v>
      </c>
      <c r="BQ62" t="s">
        <v>698</v>
      </c>
      <c r="BR62" t="s">
        <v>692</v>
      </c>
      <c r="BS62" t="s">
        <v>312</v>
      </c>
      <c r="BV62" t="s">
        <v>174</v>
      </c>
      <c r="BW62" t="s">
        <v>699</v>
      </c>
      <c r="BX62" t="s">
        <v>314</v>
      </c>
      <c r="BY62">
        <v>88</v>
      </c>
      <c r="BZ62" t="s">
        <v>315</v>
      </c>
      <c r="CB62" t="s">
        <v>314</v>
      </c>
      <c r="CF62" t="s">
        <v>700</v>
      </c>
    </row>
    <row r="63" spans="1:84" ht="15.75" customHeight="1" x14ac:dyDescent="0.25">
      <c r="A63" s="8"/>
      <c r="B63" s="1" t="s">
        <v>165</v>
      </c>
      <c r="C63" s="4" t="str">
        <f t="shared" si="4"/>
        <v>MAG1251B00/MOR</v>
      </c>
      <c r="D63" s="10" t="s">
        <v>175</v>
      </c>
      <c r="E63" s="4" t="s">
        <v>167</v>
      </c>
      <c r="F63" s="4" t="s">
        <v>176</v>
      </c>
      <c r="G63" s="14"/>
      <c r="H63" s="6">
        <v>8.5500000000000007</v>
      </c>
      <c r="I63" s="6">
        <f t="shared" si="0"/>
        <v>10.516500000000001</v>
      </c>
      <c r="J63" s="53">
        <v>10.99</v>
      </c>
      <c r="K63" s="7">
        <v>12.99</v>
      </c>
      <c r="L63" s="4"/>
      <c r="M63" s="8"/>
      <c r="N63" s="8"/>
      <c r="O63" t="s">
        <v>291</v>
      </c>
      <c r="P63" t="s">
        <v>292</v>
      </c>
      <c r="R63" t="s">
        <v>165</v>
      </c>
      <c r="S63" t="s">
        <v>175</v>
      </c>
      <c r="T63" t="s">
        <v>176</v>
      </c>
      <c r="Z63" t="s">
        <v>701</v>
      </c>
      <c r="AA63" t="s">
        <v>176</v>
      </c>
      <c r="AB63" t="s">
        <v>692</v>
      </c>
      <c r="AM63" t="s">
        <v>702</v>
      </c>
      <c r="AN63" t="s">
        <v>165</v>
      </c>
      <c r="AO63" t="s">
        <v>693</v>
      </c>
      <c r="AP63" t="s">
        <v>694</v>
      </c>
      <c r="AT63" t="s">
        <v>695</v>
      </c>
      <c r="AU63" t="s">
        <v>703</v>
      </c>
      <c r="BE63">
        <v>100</v>
      </c>
      <c r="BG63">
        <v>1</v>
      </c>
      <c r="BP63" t="s">
        <v>697</v>
      </c>
      <c r="BQ63" t="s">
        <v>698</v>
      </c>
      <c r="BR63" t="s">
        <v>692</v>
      </c>
      <c r="BS63" t="s">
        <v>312</v>
      </c>
      <c r="BV63" t="s">
        <v>176</v>
      </c>
      <c r="BW63" t="s">
        <v>704</v>
      </c>
      <c r="BX63" t="s">
        <v>314</v>
      </c>
      <c r="BY63">
        <v>92</v>
      </c>
      <c r="BZ63" t="s">
        <v>315</v>
      </c>
      <c r="CB63" t="s">
        <v>314</v>
      </c>
      <c r="CF63" t="s">
        <v>705</v>
      </c>
    </row>
    <row r="64" spans="1:84" ht="15.75" customHeight="1" x14ac:dyDescent="0.25">
      <c r="A64" s="8"/>
      <c r="B64" s="1" t="s">
        <v>165</v>
      </c>
      <c r="C64" s="4" t="str">
        <f t="shared" si="4"/>
        <v>MAG1251G00/MOR</v>
      </c>
      <c r="D64" s="10" t="s">
        <v>177</v>
      </c>
      <c r="E64" s="4" t="s">
        <v>167</v>
      </c>
      <c r="F64" s="4" t="s">
        <v>178</v>
      </c>
      <c r="G64" s="14"/>
      <c r="H64" s="6">
        <v>8.5500000000000007</v>
      </c>
      <c r="I64" s="6">
        <f t="shared" si="0"/>
        <v>10.516500000000001</v>
      </c>
      <c r="J64" s="53">
        <v>10.99</v>
      </c>
      <c r="K64" s="7">
        <v>12.99</v>
      </c>
      <c r="L64" s="4"/>
      <c r="M64" s="8"/>
      <c r="N64" s="8"/>
      <c r="O64" t="s">
        <v>291</v>
      </c>
      <c r="P64" t="s">
        <v>292</v>
      </c>
      <c r="R64" t="s">
        <v>165</v>
      </c>
      <c r="S64" t="s">
        <v>177</v>
      </c>
      <c r="T64" t="s">
        <v>178</v>
      </c>
      <c r="Z64" t="s">
        <v>706</v>
      </c>
      <c r="AA64" t="s">
        <v>178</v>
      </c>
      <c r="AB64" t="s">
        <v>692</v>
      </c>
      <c r="AM64" t="s">
        <v>392</v>
      </c>
      <c r="AN64" t="s">
        <v>165</v>
      </c>
      <c r="AO64" t="s">
        <v>693</v>
      </c>
      <c r="AP64" t="s">
        <v>694</v>
      </c>
      <c r="AT64" t="s">
        <v>695</v>
      </c>
      <c r="AU64" t="s">
        <v>703</v>
      </c>
      <c r="BE64">
        <v>100</v>
      </c>
      <c r="BG64">
        <v>1</v>
      </c>
      <c r="BP64" t="s">
        <v>697</v>
      </c>
      <c r="BQ64" t="s">
        <v>698</v>
      </c>
      <c r="BR64" t="s">
        <v>692</v>
      </c>
      <c r="BS64" t="s">
        <v>312</v>
      </c>
      <c r="BV64" t="s">
        <v>178</v>
      </c>
      <c r="BW64" t="s">
        <v>707</v>
      </c>
      <c r="BX64" t="s">
        <v>314</v>
      </c>
      <c r="BY64">
        <v>90</v>
      </c>
      <c r="BZ64" t="s">
        <v>315</v>
      </c>
      <c r="CB64" t="s">
        <v>314</v>
      </c>
      <c r="CF64" t="s">
        <v>708</v>
      </c>
    </row>
    <row r="65" spans="1:85" ht="15.75" customHeight="1" x14ac:dyDescent="0.25">
      <c r="A65" s="8"/>
      <c r="B65" s="1" t="s">
        <v>165</v>
      </c>
      <c r="C65" s="4" t="str">
        <f t="shared" si="4"/>
        <v>MAG5253ABG/MOR</v>
      </c>
      <c r="D65" s="10" t="s">
        <v>179</v>
      </c>
      <c r="E65" s="4" t="s">
        <v>167</v>
      </c>
      <c r="F65" s="4" t="s">
        <v>180</v>
      </c>
      <c r="G65" s="14"/>
      <c r="H65" s="6">
        <v>38.51</v>
      </c>
      <c r="I65" s="6">
        <f t="shared" si="0"/>
        <v>47.3673</v>
      </c>
      <c r="J65" s="53">
        <v>49.8</v>
      </c>
      <c r="K65" s="7">
        <v>54.9</v>
      </c>
      <c r="L65" s="4"/>
      <c r="M65" s="8"/>
      <c r="N65" s="8"/>
      <c r="O65" t="s">
        <v>291</v>
      </c>
      <c r="P65" t="s">
        <v>292</v>
      </c>
      <c r="R65" t="s">
        <v>165</v>
      </c>
      <c r="S65" t="s">
        <v>179</v>
      </c>
      <c r="T65" t="s">
        <v>180</v>
      </c>
      <c r="Z65" t="s">
        <v>709</v>
      </c>
      <c r="AA65" t="s">
        <v>180</v>
      </c>
      <c r="AB65" t="s">
        <v>710</v>
      </c>
      <c r="AM65" t="s">
        <v>302</v>
      </c>
      <c r="AN65" t="s">
        <v>165</v>
      </c>
      <c r="AO65" t="s">
        <v>693</v>
      </c>
      <c r="AP65" t="s">
        <v>694</v>
      </c>
      <c r="AT65" t="s">
        <v>711</v>
      </c>
      <c r="AU65" t="s">
        <v>703</v>
      </c>
      <c r="BE65">
        <v>100</v>
      </c>
      <c r="BG65">
        <v>5</v>
      </c>
      <c r="BP65" t="s">
        <v>697</v>
      </c>
      <c r="BQ65" t="s">
        <v>698</v>
      </c>
      <c r="BR65" t="s">
        <v>710</v>
      </c>
      <c r="BS65" t="s">
        <v>312</v>
      </c>
      <c r="BV65" t="s">
        <v>180</v>
      </c>
      <c r="BW65" t="s">
        <v>712</v>
      </c>
      <c r="BX65" t="s">
        <v>314</v>
      </c>
      <c r="BY65">
        <v>106</v>
      </c>
      <c r="BZ65" t="s">
        <v>315</v>
      </c>
      <c r="CB65" t="s">
        <v>314</v>
      </c>
      <c r="CF65" t="s">
        <v>713</v>
      </c>
    </row>
    <row r="66" spans="1:85" ht="36.75" customHeight="1" x14ac:dyDescent="0.25">
      <c r="A66" s="8" t="s">
        <v>37</v>
      </c>
      <c r="B66" s="1" t="s">
        <v>181</v>
      </c>
      <c r="C66" s="4" t="str">
        <f t="shared" si="4"/>
        <v>92501T48163/PCE</v>
      </c>
      <c r="D66" s="54" t="s">
        <v>182</v>
      </c>
      <c r="E66" s="55" t="s">
        <v>181</v>
      </c>
      <c r="F66" s="4" t="s">
        <v>183</v>
      </c>
      <c r="G66" s="5"/>
      <c r="H66" s="6">
        <v>276.98</v>
      </c>
      <c r="I66" s="6">
        <f t="shared" si="0"/>
        <v>340.68540000000002</v>
      </c>
      <c r="J66" s="6">
        <v>349.9</v>
      </c>
      <c r="K66" s="7">
        <v>379.9</v>
      </c>
      <c r="L66" s="56" t="s">
        <v>184</v>
      </c>
      <c r="M66" s="8" t="s">
        <v>64</v>
      </c>
      <c r="N66" s="8"/>
      <c r="O66" t="s">
        <v>291</v>
      </c>
      <c r="P66" t="s">
        <v>292</v>
      </c>
      <c r="Q66" t="s">
        <v>37</v>
      </c>
      <c r="R66" t="s">
        <v>181</v>
      </c>
      <c r="S66" t="s">
        <v>182</v>
      </c>
      <c r="T66" t="s">
        <v>183</v>
      </c>
      <c r="V66">
        <v>276.98</v>
      </c>
      <c r="X66" t="s">
        <v>184</v>
      </c>
      <c r="Y66" t="s">
        <v>64</v>
      </c>
      <c r="AA66" t="s">
        <v>183</v>
      </c>
      <c r="AB66" t="s">
        <v>714</v>
      </c>
      <c r="AE66" t="s">
        <v>715</v>
      </c>
      <c r="AJ66" t="s">
        <v>465</v>
      </c>
      <c r="AM66" t="s">
        <v>355</v>
      </c>
      <c r="AN66" t="s">
        <v>181</v>
      </c>
      <c r="AO66" t="s">
        <v>716</v>
      </c>
      <c r="BK66" t="s">
        <v>717</v>
      </c>
      <c r="BP66" t="s">
        <v>718</v>
      </c>
      <c r="BQ66" t="s">
        <v>719</v>
      </c>
      <c r="BR66" t="s">
        <v>714</v>
      </c>
      <c r="BS66" t="s">
        <v>312</v>
      </c>
      <c r="BV66" t="s">
        <v>183</v>
      </c>
      <c r="BW66" t="s">
        <v>720</v>
      </c>
      <c r="BX66" t="s">
        <v>314</v>
      </c>
      <c r="BY66">
        <v>59</v>
      </c>
      <c r="BZ66" t="s">
        <v>315</v>
      </c>
      <c r="CB66" t="s">
        <v>314</v>
      </c>
      <c r="CF66" t="s">
        <v>721</v>
      </c>
    </row>
    <row r="67" spans="1:85" ht="36.75" customHeight="1" x14ac:dyDescent="0.25">
      <c r="A67" s="8" t="s">
        <v>37</v>
      </c>
      <c r="B67" s="1" t="s">
        <v>181</v>
      </c>
      <c r="C67" s="4" t="str">
        <f t="shared" si="4"/>
        <v>92501T48223/PCE</v>
      </c>
      <c r="D67" s="54" t="s">
        <v>185</v>
      </c>
      <c r="E67" s="55" t="s">
        <v>181</v>
      </c>
      <c r="F67" s="4" t="s">
        <v>183</v>
      </c>
      <c r="G67" s="5"/>
      <c r="H67" s="6">
        <v>280.76</v>
      </c>
      <c r="I67" s="6">
        <f t="shared" si="0"/>
        <v>345.33479999999997</v>
      </c>
      <c r="J67" s="6">
        <v>349.9</v>
      </c>
      <c r="K67" s="7">
        <v>379.9</v>
      </c>
      <c r="L67" s="56" t="s">
        <v>186</v>
      </c>
      <c r="M67" s="8" t="s">
        <v>64</v>
      </c>
      <c r="N67" s="8"/>
      <c r="O67" t="s">
        <v>291</v>
      </c>
      <c r="P67" t="s">
        <v>292</v>
      </c>
      <c r="Q67" t="s">
        <v>37</v>
      </c>
      <c r="R67" t="s">
        <v>181</v>
      </c>
      <c r="S67" t="s">
        <v>185</v>
      </c>
      <c r="T67" t="s">
        <v>183</v>
      </c>
      <c r="V67">
        <v>280.76</v>
      </c>
      <c r="X67" t="s">
        <v>186</v>
      </c>
      <c r="Y67" t="s">
        <v>64</v>
      </c>
      <c r="AA67" t="s">
        <v>183</v>
      </c>
      <c r="AB67" t="s">
        <v>714</v>
      </c>
      <c r="AE67" t="s">
        <v>715</v>
      </c>
      <c r="AJ67" t="s">
        <v>465</v>
      </c>
      <c r="AM67" t="s">
        <v>355</v>
      </c>
      <c r="AN67" t="s">
        <v>181</v>
      </c>
      <c r="AO67" t="s">
        <v>716</v>
      </c>
      <c r="BK67" t="s">
        <v>717</v>
      </c>
      <c r="BP67" t="s">
        <v>718</v>
      </c>
      <c r="BQ67" t="s">
        <v>719</v>
      </c>
      <c r="BR67" t="s">
        <v>714</v>
      </c>
      <c r="BS67" t="s">
        <v>312</v>
      </c>
      <c r="BV67" t="s">
        <v>183</v>
      </c>
      <c r="BW67" t="s">
        <v>722</v>
      </c>
      <c r="BX67" t="s">
        <v>314</v>
      </c>
      <c r="BY67">
        <v>59</v>
      </c>
      <c r="BZ67" t="s">
        <v>315</v>
      </c>
      <c r="CB67" t="s">
        <v>314</v>
      </c>
      <c r="CF67" t="s">
        <v>723</v>
      </c>
    </row>
    <row r="68" spans="1:85" ht="40.5" customHeight="1" x14ac:dyDescent="0.25">
      <c r="A68" s="1" t="s">
        <v>14</v>
      </c>
      <c r="B68" s="1" t="s">
        <v>181</v>
      </c>
      <c r="C68" s="54" t="s">
        <v>187</v>
      </c>
      <c r="D68" s="54" t="s">
        <v>188</v>
      </c>
      <c r="E68" s="55" t="s">
        <v>181</v>
      </c>
      <c r="F68" s="4" t="s">
        <v>189</v>
      </c>
      <c r="G68" s="5"/>
      <c r="H68" s="6">
        <v>149.22999999999999</v>
      </c>
      <c r="I68" s="6">
        <f t="shared" si="0"/>
        <v>183.55289999999999</v>
      </c>
      <c r="J68" s="6">
        <v>189.9</v>
      </c>
      <c r="K68" s="7">
        <v>206.9</v>
      </c>
      <c r="L68" s="56" t="s">
        <v>190</v>
      </c>
      <c r="M68" s="8" t="s">
        <v>64</v>
      </c>
      <c r="N68" s="8"/>
      <c r="O68" t="s">
        <v>724</v>
      </c>
      <c r="P68" t="s">
        <v>292</v>
      </c>
      <c r="Q68" t="s">
        <v>14</v>
      </c>
      <c r="R68" t="s">
        <v>181</v>
      </c>
      <c r="S68" t="s">
        <v>188</v>
      </c>
      <c r="T68" t="s">
        <v>189</v>
      </c>
      <c r="V68">
        <v>149.22999999999999</v>
      </c>
      <c r="X68" t="s">
        <v>190</v>
      </c>
      <c r="Y68" t="s">
        <v>64</v>
      </c>
      <c r="AA68" t="s">
        <v>189</v>
      </c>
      <c r="AB68" t="s">
        <v>725</v>
      </c>
      <c r="AE68" t="s">
        <v>726</v>
      </c>
      <c r="AJ68" t="s">
        <v>548</v>
      </c>
      <c r="AM68" t="s">
        <v>727</v>
      </c>
      <c r="AN68" t="s">
        <v>181</v>
      </c>
      <c r="AO68" t="s">
        <v>728</v>
      </c>
      <c r="AP68" t="s">
        <v>728</v>
      </c>
      <c r="BB68" t="s">
        <v>372</v>
      </c>
      <c r="BP68" t="s">
        <v>729</v>
      </c>
      <c r="BQ68" t="s">
        <v>730</v>
      </c>
      <c r="BR68" t="s">
        <v>725</v>
      </c>
      <c r="BS68" t="s">
        <v>312</v>
      </c>
      <c r="BV68" t="s">
        <v>189</v>
      </c>
      <c r="BW68" t="s">
        <v>731</v>
      </c>
      <c r="BX68" t="s">
        <v>314</v>
      </c>
      <c r="BY68">
        <v>68</v>
      </c>
      <c r="BZ68" t="s">
        <v>315</v>
      </c>
      <c r="CB68" t="s">
        <v>314</v>
      </c>
      <c r="CF68" t="s">
        <v>732</v>
      </c>
    </row>
    <row r="69" spans="1:85" ht="36.75" customHeight="1" x14ac:dyDescent="0.25">
      <c r="A69" s="8" t="s">
        <v>37</v>
      </c>
      <c r="B69" s="1" t="s">
        <v>181</v>
      </c>
      <c r="C69" s="4" t="str">
        <f>CONCATENATE(D69,"/",E69)</f>
        <v>909110002W/PCE</v>
      </c>
      <c r="D69" s="54" t="s">
        <v>191</v>
      </c>
      <c r="E69" s="55" t="s">
        <v>181</v>
      </c>
      <c r="F69" s="4" t="s">
        <v>192</v>
      </c>
      <c r="G69" s="5"/>
      <c r="H69" s="6">
        <v>198.61</v>
      </c>
      <c r="I69" s="6">
        <f t="shared" si="0"/>
        <v>244.2903</v>
      </c>
      <c r="J69" s="6">
        <v>249.9</v>
      </c>
      <c r="K69" s="13">
        <v>272.79000000000002</v>
      </c>
      <c r="L69" s="56" t="s">
        <v>193</v>
      </c>
      <c r="M69" s="8" t="s">
        <v>64</v>
      </c>
      <c r="N69" s="8"/>
      <c r="O69" t="s">
        <v>291</v>
      </c>
      <c r="P69" t="s">
        <v>292</v>
      </c>
      <c r="Q69" t="s">
        <v>37</v>
      </c>
      <c r="R69" t="s">
        <v>181</v>
      </c>
      <c r="S69" t="s">
        <v>191</v>
      </c>
      <c r="T69" t="s">
        <v>192</v>
      </c>
      <c r="V69">
        <v>198.61</v>
      </c>
      <c r="X69" t="s">
        <v>193</v>
      </c>
      <c r="Y69" t="s">
        <v>64</v>
      </c>
      <c r="AA69" t="s">
        <v>192</v>
      </c>
      <c r="AB69" t="s">
        <v>733</v>
      </c>
      <c r="AE69" t="s">
        <v>726</v>
      </c>
      <c r="AJ69" t="s">
        <v>559</v>
      </c>
      <c r="AN69" t="s">
        <v>181</v>
      </c>
      <c r="AO69" t="s">
        <v>734</v>
      </c>
      <c r="BP69" t="s">
        <v>735</v>
      </c>
      <c r="BQ69" t="s">
        <v>736</v>
      </c>
      <c r="BR69" t="s">
        <v>733</v>
      </c>
      <c r="BS69" t="s">
        <v>312</v>
      </c>
      <c r="BV69" t="s">
        <v>192</v>
      </c>
      <c r="BW69" t="s">
        <v>737</v>
      </c>
      <c r="BX69" t="s">
        <v>314</v>
      </c>
      <c r="BY69">
        <v>68</v>
      </c>
      <c r="BZ69" t="s">
        <v>315</v>
      </c>
      <c r="CB69" t="s">
        <v>314</v>
      </c>
      <c r="CF69" t="s">
        <v>738</v>
      </c>
    </row>
    <row r="70" spans="1:85" ht="15.75" customHeight="1" x14ac:dyDescent="0.25">
      <c r="A70" s="1" t="s">
        <v>14</v>
      </c>
      <c r="B70" s="1" t="s">
        <v>194</v>
      </c>
      <c r="C70" s="10" t="s">
        <v>195</v>
      </c>
      <c r="D70" s="4" t="s">
        <v>196</v>
      </c>
      <c r="E70" s="4" t="s">
        <v>197</v>
      </c>
      <c r="F70" s="4" t="s">
        <v>198</v>
      </c>
      <c r="G70" s="5">
        <v>5902273443018</v>
      </c>
      <c r="H70" s="6">
        <v>209.3</v>
      </c>
      <c r="I70" s="6">
        <f t="shared" si="0"/>
        <v>257.43900000000002</v>
      </c>
      <c r="J70" s="6">
        <v>269</v>
      </c>
      <c r="K70" s="7">
        <v>289.89999999999998</v>
      </c>
      <c r="L70" s="4"/>
      <c r="M70" s="8"/>
      <c r="N70" s="8"/>
      <c r="O70" t="s">
        <v>291</v>
      </c>
      <c r="P70" t="s">
        <v>377</v>
      </c>
      <c r="Q70" t="s">
        <v>14</v>
      </c>
      <c r="R70" t="s">
        <v>194</v>
      </c>
      <c r="S70" t="s">
        <v>196</v>
      </c>
      <c r="T70" t="s">
        <v>198</v>
      </c>
      <c r="U70">
        <v>5902273443018</v>
      </c>
      <c r="V70">
        <v>209.3</v>
      </c>
      <c r="AA70" t="s">
        <v>198</v>
      </c>
      <c r="AB70" t="s">
        <v>714</v>
      </c>
      <c r="AN70" t="s">
        <v>194</v>
      </c>
      <c r="BP70" t="s">
        <v>441</v>
      </c>
      <c r="BQ70" t="s">
        <v>442</v>
      </c>
      <c r="BR70" t="s">
        <v>714</v>
      </c>
      <c r="BS70" t="s">
        <v>312</v>
      </c>
      <c r="BV70" t="s">
        <v>198</v>
      </c>
      <c r="BW70" t="s">
        <v>739</v>
      </c>
      <c r="BX70" t="s">
        <v>314</v>
      </c>
      <c r="BY70">
        <v>56</v>
      </c>
      <c r="BZ70" t="s">
        <v>315</v>
      </c>
      <c r="CB70" t="s">
        <v>314</v>
      </c>
      <c r="CF70" t="s">
        <v>444</v>
      </c>
    </row>
    <row r="71" spans="1:85" ht="15.75" customHeight="1" x14ac:dyDescent="0.25">
      <c r="A71" s="1" t="s">
        <v>14</v>
      </c>
      <c r="B71" s="1" t="s">
        <v>194</v>
      </c>
      <c r="C71" s="10" t="s">
        <v>199</v>
      </c>
      <c r="D71" s="4" t="s">
        <v>200</v>
      </c>
      <c r="E71" s="4" t="s">
        <v>197</v>
      </c>
      <c r="F71" s="4" t="s">
        <v>201</v>
      </c>
      <c r="G71" s="5">
        <v>5902273440635</v>
      </c>
      <c r="H71" s="6">
        <v>329.71</v>
      </c>
      <c r="I71" s="6">
        <f t="shared" si="0"/>
        <v>405.54329999999999</v>
      </c>
      <c r="J71" s="6">
        <v>419.9</v>
      </c>
      <c r="K71" s="7">
        <v>449.9</v>
      </c>
      <c r="L71" s="4"/>
      <c r="M71" s="8"/>
      <c r="N71" s="8"/>
      <c r="O71" t="s">
        <v>291</v>
      </c>
      <c r="P71" t="s">
        <v>377</v>
      </c>
      <c r="Q71" t="s">
        <v>14</v>
      </c>
      <c r="R71" t="s">
        <v>194</v>
      </c>
      <c r="S71" t="s">
        <v>200</v>
      </c>
      <c r="T71" t="s">
        <v>201</v>
      </c>
      <c r="U71">
        <v>5902273440635</v>
      </c>
      <c r="V71">
        <v>329.71</v>
      </c>
      <c r="AA71" t="s">
        <v>201</v>
      </c>
      <c r="AB71" t="s">
        <v>621</v>
      </c>
      <c r="AD71" t="s">
        <v>740</v>
      </c>
      <c r="AH71" t="s">
        <v>741</v>
      </c>
      <c r="AN71" t="s">
        <v>194</v>
      </c>
      <c r="AO71" t="s">
        <v>742</v>
      </c>
      <c r="BP71" t="s">
        <v>743</v>
      </c>
      <c r="BQ71" t="s">
        <v>744</v>
      </c>
      <c r="BR71" t="s">
        <v>621</v>
      </c>
      <c r="BS71" t="s">
        <v>312</v>
      </c>
      <c r="BV71" t="s">
        <v>201</v>
      </c>
      <c r="BW71" t="s">
        <v>745</v>
      </c>
      <c r="BX71" t="s">
        <v>314</v>
      </c>
      <c r="BY71">
        <v>69</v>
      </c>
      <c r="BZ71" t="s">
        <v>315</v>
      </c>
      <c r="CB71" t="s">
        <v>314</v>
      </c>
      <c r="CF71" t="s">
        <v>746</v>
      </c>
    </row>
    <row r="72" spans="1:85" ht="15.75" customHeight="1" x14ac:dyDescent="0.25">
      <c r="A72" s="1" t="s">
        <v>14</v>
      </c>
      <c r="B72" s="1" t="s">
        <v>194</v>
      </c>
      <c r="C72" s="10" t="s">
        <v>202</v>
      </c>
      <c r="D72" s="4" t="s">
        <v>203</v>
      </c>
      <c r="E72" s="4" t="s">
        <v>197</v>
      </c>
      <c r="F72" s="4" t="s">
        <v>204</v>
      </c>
      <c r="G72" s="5">
        <v>5902273440604</v>
      </c>
      <c r="H72" s="6">
        <v>356.77</v>
      </c>
      <c r="I72" s="6">
        <f t="shared" si="0"/>
        <v>438.82709999999997</v>
      </c>
      <c r="J72" s="6">
        <v>449.9</v>
      </c>
      <c r="K72" s="7">
        <v>489.9</v>
      </c>
      <c r="L72" s="4"/>
      <c r="M72" s="8"/>
      <c r="N72" s="8"/>
      <c r="O72" t="s">
        <v>291</v>
      </c>
      <c r="P72" t="s">
        <v>377</v>
      </c>
      <c r="Q72" t="s">
        <v>14</v>
      </c>
      <c r="R72" t="s">
        <v>194</v>
      </c>
      <c r="S72" t="s">
        <v>203</v>
      </c>
      <c r="T72" t="s">
        <v>204</v>
      </c>
      <c r="U72">
        <v>5902273440604</v>
      </c>
      <c r="V72">
        <v>356.77</v>
      </c>
      <c r="AA72" t="s">
        <v>204</v>
      </c>
      <c r="AB72" t="s">
        <v>747</v>
      </c>
      <c r="AD72" t="s">
        <v>740</v>
      </c>
      <c r="AH72" t="s">
        <v>748</v>
      </c>
      <c r="AN72" t="s">
        <v>194</v>
      </c>
      <c r="AO72" t="s">
        <v>742</v>
      </c>
      <c r="BP72" t="s">
        <v>743</v>
      </c>
      <c r="BQ72" t="s">
        <v>744</v>
      </c>
      <c r="BR72" t="s">
        <v>747</v>
      </c>
      <c r="BS72" t="s">
        <v>312</v>
      </c>
      <c r="BV72" t="s">
        <v>204</v>
      </c>
      <c r="BW72" t="s">
        <v>749</v>
      </c>
      <c r="BX72" t="s">
        <v>314</v>
      </c>
      <c r="BY72">
        <v>70</v>
      </c>
      <c r="BZ72" t="s">
        <v>315</v>
      </c>
      <c r="CB72" t="s">
        <v>314</v>
      </c>
      <c r="CF72" t="s">
        <v>750</v>
      </c>
    </row>
    <row r="73" spans="1:85" ht="15.75" customHeight="1" x14ac:dyDescent="0.25">
      <c r="A73" s="1" t="s">
        <v>14</v>
      </c>
      <c r="B73" s="1" t="s">
        <v>194</v>
      </c>
      <c r="C73" s="10" t="s">
        <v>205</v>
      </c>
      <c r="D73" s="4" t="s">
        <v>206</v>
      </c>
      <c r="E73" s="4" t="s">
        <v>197</v>
      </c>
      <c r="F73" s="4" t="s">
        <v>207</v>
      </c>
      <c r="G73" s="5">
        <v>5902273439004</v>
      </c>
      <c r="H73" s="6">
        <v>56.92</v>
      </c>
      <c r="I73" s="6">
        <f t="shared" si="0"/>
        <v>70.011600000000001</v>
      </c>
      <c r="J73" s="6">
        <v>78.900000000000006</v>
      </c>
      <c r="K73" s="7">
        <v>84.9</v>
      </c>
      <c r="L73" s="4"/>
      <c r="M73" s="8"/>
      <c r="N73" s="8"/>
      <c r="O73" t="s">
        <v>291</v>
      </c>
      <c r="P73" t="s">
        <v>377</v>
      </c>
      <c r="Q73" t="s">
        <v>14</v>
      </c>
      <c r="R73" t="s">
        <v>194</v>
      </c>
      <c r="S73" t="s">
        <v>206</v>
      </c>
      <c r="T73" t="s">
        <v>207</v>
      </c>
      <c r="U73">
        <v>5902273439004</v>
      </c>
      <c r="V73">
        <v>56.92</v>
      </c>
      <c r="AA73" t="s">
        <v>207</v>
      </c>
      <c r="AB73" t="s">
        <v>751</v>
      </c>
      <c r="AN73" t="s">
        <v>194</v>
      </c>
      <c r="AO73" t="s">
        <v>752</v>
      </c>
      <c r="BP73" t="s">
        <v>380</v>
      </c>
      <c r="BQ73" t="s">
        <v>381</v>
      </c>
      <c r="BR73" t="s">
        <v>751</v>
      </c>
      <c r="BS73" t="s">
        <v>312</v>
      </c>
      <c r="BV73" t="s">
        <v>207</v>
      </c>
      <c r="BW73" t="s">
        <v>753</v>
      </c>
      <c r="BX73" t="s">
        <v>314</v>
      </c>
      <c r="BY73">
        <v>60</v>
      </c>
      <c r="BZ73" t="s">
        <v>315</v>
      </c>
      <c r="CB73" t="s">
        <v>314</v>
      </c>
      <c r="CF73" t="s">
        <v>754</v>
      </c>
    </row>
    <row r="74" spans="1:85" ht="15.75" customHeight="1" x14ac:dyDescent="0.25">
      <c r="A74" s="1" t="s">
        <v>14</v>
      </c>
      <c r="B74" s="1" t="s">
        <v>208</v>
      </c>
      <c r="C74" s="10" t="s">
        <v>209</v>
      </c>
      <c r="D74" s="10" t="s">
        <v>210</v>
      </c>
      <c r="E74" s="4" t="s">
        <v>211</v>
      </c>
      <c r="F74" s="4" t="s">
        <v>212</v>
      </c>
      <c r="G74" s="14"/>
      <c r="H74" s="6">
        <v>1998</v>
      </c>
      <c r="I74" s="6">
        <f t="shared" si="0"/>
        <v>2457.54</v>
      </c>
      <c r="J74" s="6">
        <v>2499</v>
      </c>
      <c r="K74" s="7">
        <v>2999</v>
      </c>
      <c r="L74" s="4"/>
      <c r="M74" s="8"/>
      <c r="N74" s="8"/>
      <c r="O74" t="s">
        <v>367</v>
      </c>
      <c r="CF74" s="65" t="s">
        <v>812</v>
      </c>
      <c r="CG74" s="64" t="s">
        <v>813</v>
      </c>
    </row>
    <row r="75" spans="1:85" ht="15.75" customHeight="1" x14ac:dyDescent="0.25">
      <c r="A75" s="8" t="s">
        <v>37</v>
      </c>
      <c r="B75" s="1" t="s">
        <v>213</v>
      </c>
      <c r="C75" s="4" t="str">
        <f t="shared" ref="C75:C77" si="5">CONCATENATE(D75,"/",E75)</f>
        <v>34117203/SIM</v>
      </c>
      <c r="D75" s="51">
        <v>34117203</v>
      </c>
      <c r="E75" s="11" t="s">
        <v>214</v>
      </c>
      <c r="F75" s="4" t="s">
        <v>215</v>
      </c>
      <c r="G75" s="14"/>
      <c r="H75" s="6">
        <v>14.29</v>
      </c>
      <c r="I75" s="6">
        <f t="shared" si="0"/>
        <v>17.576699999999999</v>
      </c>
      <c r="J75" s="6">
        <v>17.89</v>
      </c>
      <c r="K75" s="13">
        <v>20.66</v>
      </c>
      <c r="L75" s="17" t="s">
        <v>216</v>
      </c>
      <c r="M75" s="8"/>
      <c r="N75" s="8"/>
      <c r="O75" t="s">
        <v>291</v>
      </c>
      <c r="P75" t="s">
        <v>292</v>
      </c>
      <c r="Q75" t="s">
        <v>37</v>
      </c>
      <c r="R75" t="s">
        <v>213</v>
      </c>
      <c r="S75">
        <v>34117203</v>
      </c>
      <c r="T75" t="s">
        <v>215</v>
      </c>
      <c r="V75">
        <v>14.29</v>
      </c>
      <c r="X75" t="s">
        <v>216</v>
      </c>
      <c r="Z75" t="s">
        <v>755</v>
      </c>
      <c r="AA75" t="s">
        <v>215</v>
      </c>
      <c r="AB75" t="s">
        <v>756</v>
      </c>
      <c r="AD75" t="s">
        <v>757</v>
      </c>
      <c r="AE75" t="s">
        <v>726</v>
      </c>
      <c r="AJ75" t="s">
        <v>465</v>
      </c>
      <c r="AL75" t="s">
        <v>758</v>
      </c>
      <c r="AM75" t="s">
        <v>702</v>
      </c>
      <c r="AN75" t="s">
        <v>213</v>
      </c>
      <c r="AP75" t="s">
        <v>759</v>
      </c>
      <c r="AQ75" t="s">
        <v>760</v>
      </c>
      <c r="AS75" t="s">
        <v>761</v>
      </c>
      <c r="AT75" t="s">
        <v>762</v>
      </c>
      <c r="AU75" t="s">
        <v>763</v>
      </c>
      <c r="BB75" t="s">
        <v>764</v>
      </c>
      <c r="BP75" t="s">
        <v>765</v>
      </c>
      <c r="BQ75" t="s">
        <v>766</v>
      </c>
      <c r="BR75" t="s">
        <v>756</v>
      </c>
      <c r="BS75" t="s">
        <v>312</v>
      </c>
      <c r="BV75" t="s">
        <v>215</v>
      </c>
      <c r="BW75" t="s">
        <v>767</v>
      </c>
      <c r="BX75" t="s">
        <v>314</v>
      </c>
      <c r="BY75">
        <v>56</v>
      </c>
      <c r="BZ75" t="s">
        <v>315</v>
      </c>
      <c r="CB75" t="s">
        <v>314</v>
      </c>
      <c r="CF75" t="s">
        <v>768</v>
      </c>
    </row>
    <row r="76" spans="1:85" ht="15.75" customHeight="1" x14ac:dyDescent="0.25">
      <c r="A76" s="8" t="s">
        <v>37</v>
      </c>
      <c r="B76" s="1" t="s">
        <v>213</v>
      </c>
      <c r="C76" s="4" t="str">
        <f t="shared" si="5"/>
        <v>33069008/SIM</v>
      </c>
      <c r="D76" s="51">
        <v>33069008</v>
      </c>
      <c r="E76" s="11" t="s">
        <v>214</v>
      </c>
      <c r="F76" s="4" t="s">
        <v>217</v>
      </c>
      <c r="G76" s="14"/>
      <c r="H76" s="6">
        <v>0.86</v>
      </c>
      <c r="I76" s="6">
        <f t="shared" si="0"/>
        <v>1.0578000000000001</v>
      </c>
      <c r="J76" s="6">
        <v>1.0900000000000001</v>
      </c>
      <c r="K76" s="13">
        <v>1.18</v>
      </c>
      <c r="L76" s="17" t="s">
        <v>218</v>
      </c>
      <c r="M76" s="8"/>
      <c r="N76" s="8"/>
      <c r="O76" t="s">
        <v>291</v>
      </c>
      <c r="P76" t="s">
        <v>292</v>
      </c>
      <c r="Q76" t="s">
        <v>37</v>
      </c>
      <c r="R76" t="s">
        <v>213</v>
      </c>
      <c r="S76">
        <v>33069008</v>
      </c>
      <c r="T76" t="s">
        <v>217</v>
      </c>
      <c r="V76">
        <v>0.86</v>
      </c>
      <c r="X76" t="s">
        <v>218</v>
      </c>
      <c r="Z76" t="s">
        <v>769</v>
      </c>
      <c r="AA76" t="s">
        <v>217</v>
      </c>
      <c r="AB76" t="s">
        <v>756</v>
      </c>
      <c r="AD76" t="s">
        <v>757</v>
      </c>
      <c r="AL76" t="s">
        <v>770</v>
      </c>
      <c r="AM76" t="s">
        <v>771</v>
      </c>
      <c r="AN76" t="s">
        <v>213</v>
      </c>
      <c r="AP76" t="s">
        <v>772</v>
      </c>
      <c r="AU76" t="s">
        <v>773</v>
      </c>
      <c r="BA76" t="s">
        <v>762</v>
      </c>
      <c r="BB76" t="s">
        <v>774</v>
      </c>
      <c r="BP76" t="s">
        <v>775</v>
      </c>
      <c r="BQ76" t="s">
        <v>776</v>
      </c>
      <c r="BR76" t="s">
        <v>756</v>
      </c>
      <c r="BS76" t="s">
        <v>312</v>
      </c>
      <c r="BV76" t="s">
        <v>217</v>
      </c>
      <c r="BW76" t="s">
        <v>777</v>
      </c>
      <c r="BX76" t="s">
        <v>314</v>
      </c>
      <c r="BY76">
        <v>50</v>
      </c>
      <c r="BZ76" t="s">
        <v>315</v>
      </c>
      <c r="CB76" t="s">
        <v>314</v>
      </c>
      <c r="CF76" t="s">
        <v>778</v>
      </c>
    </row>
    <row r="77" spans="1:85" ht="15.75" customHeight="1" x14ac:dyDescent="0.25">
      <c r="A77" s="8" t="s">
        <v>37</v>
      </c>
      <c r="B77" s="1" t="s">
        <v>213</v>
      </c>
      <c r="C77" s="4" t="str">
        <f t="shared" si="5"/>
        <v>32013203/SIM</v>
      </c>
      <c r="D77" s="51">
        <v>32013203</v>
      </c>
      <c r="E77" s="11" t="s">
        <v>214</v>
      </c>
      <c r="F77" s="4" t="s">
        <v>219</v>
      </c>
      <c r="G77" s="14"/>
      <c r="H77" s="6">
        <v>3.81</v>
      </c>
      <c r="I77" s="6">
        <f t="shared" si="0"/>
        <v>4.6863000000000001</v>
      </c>
      <c r="J77" s="6">
        <v>4.6900000000000004</v>
      </c>
      <c r="K77" s="13">
        <v>5.44</v>
      </c>
      <c r="L77" s="17" t="s">
        <v>220</v>
      </c>
      <c r="M77" s="8"/>
      <c r="N77" s="8"/>
      <c r="O77" t="s">
        <v>291</v>
      </c>
      <c r="P77" t="s">
        <v>292</v>
      </c>
      <c r="Q77" t="s">
        <v>37</v>
      </c>
      <c r="R77" t="s">
        <v>213</v>
      </c>
      <c r="S77">
        <v>32013203</v>
      </c>
      <c r="T77" t="s">
        <v>219</v>
      </c>
      <c r="V77">
        <v>3.81</v>
      </c>
      <c r="X77" t="s">
        <v>220</v>
      </c>
      <c r="Z77" t="s">
        <v>779</v>
      </c>
      <c r="AA77" t="s">
        <v>219</v>
      </c>
      <c r="AB77" t="s">
        <v>756</v>
      </c>
      <c r="AD77" t="s">
        <v>757</v>
      </c>
      <c r="AE77" t="s">
        <v>726</v>
      </c>
      <c r="AJ77" t="s">
        <v>780</v>
      </c>
      <c r="AL77" t="s">
        <v>758</v>
      </c>
      <c r="AM77" t="s">
        <v>702</v>
      </c>
      <c r="AN77" t="s">
        <v>213</v>
      </c>
      <c r="AU77" t="s">
        <v>781</v>
      </c>
      <c r="BA77" t="s">
        <v>782</v>
      </c>
      <c r="BB77" t="s">
        <v>764</v>
      </c>
      <c r="BC77" t="s">
        <v>783</v>
      </c>
      <c r="BP77" t="s">
        <v>784</v>
      </c>
      <c r="BQ77" t="s">
        <v>785</v>
      </c>
      <c r="BR77" t="s">
        <v>756</v>
      </c>
      <c r="BS77" t="s">
        <v>312</v>
      </c>
      <c r="BV77" t="s">
        <v>219</v>
      </c>
      <c r="BW77" t="s">
        <v>786</v>
      </c>
      <c r="BX77" t="s">
        <v>314</v>
      </c>
      <c r="BY77">
        <v>58</v>
      </c>
      <c r="BZ77" t="s">
        <v>315</v>
      </c>
      <c r="CB77" t="s">
        <v>314</v>
      </c>
      <c r="CF77" t="s">
        <v>787</v>
      </c>
    </row>
  </sheetData>
  <autoFilter ref="A1:CF77" xr:uid="{00000000-0001-0000-0000-000000000000}"/>
  <hyperlinks>
    <hyperlink ref="L16" r:id="rId1" xr:uid="{00000000-0004-0000-0000-000000000000}"/>
    <hyperlink ref="L17" r:id="rId2" xr:uid="{00000000-0004-0000-0000-000001000000}"/>
    <hyperlink ref="L18" r:id="rId3" xr:uid="{00000000-0004-0000-0000-000003000000}"/>
    <hyperlink ref="M47" r:id="rId4" xr:uid="{00000000-0004-0000-0000-000004000000}"/>
    <hyperlink ref="M48" r:id="rId5" xr:uid="{00000000-0004-0000-0000-000005000000}"/>
    <hyperlink ref="M49" r:id="rId6" xr:uid="{00000000-0004-0000-0000-000006000000}"/>
    <hyperlink ref="L50" r:id="rId7" xr:uid="{00000000-0004-0000-0000-000007000000}"/>
    <hyperlink ref="L51" r:id="rId8" xr:uid="{00000000-0004-0000-0000-000008000000}"/>
    <hyperlink ref="L55" r:id="rId9" xr:uid="{00000000-0004-0000-0000-000009000000}"/>
    <hyperlink ref="L56" r:id="rId10" xr:uid="{00000000-0004-0000-0000-00000A000000}"/>
    <hyperlink ref="L57" r:id="rId11" xr:uid="{00000000-0004-0000-0000-00000B000000}"/>
    <hyperlink ref="L58" r:id="rId12" xr:uid="{00000000-0004-0000-0000-00000C000000}"/>
    <hyperlink ref="L75" r:id="rId13" xr:uid="{00000000-0004-0000-0000-00000D000000}"/>
    <hyperlink ref="L76" r:id="rId14" xr:uid="{00000000-0004-0000-0000-00000E000000}"/>
    <hyperlink ref="L77" r:id="rId15" xr:uid="{00000000-0004-0000-0000-00000F000000}"/>
    <hyperlink ref="CF6" r:id="rId16" xr:uid="{B71B378A-FEF9-4040-B53E-9AF35CB4E60D}"/>
    <hyperlink ref="CF7" r:id="rId17" xr:uid="{07AFE51D-ACAC-4CC5-BED4-CE7B3C64C8E8}"/>
    <hyperlink ref="CF8" r:id="rId18" xr:uid="{18DFD941-719B-4464-A258-A525000A46E0}"/>
    <hyperlink ref="CF9" r:id="rId19" xr:uid="{81DE7714-D9A7-47AD-A86E-55735A880802}"/>
    <hyperlink ref="CF22" r:id="rId20" xr:uid="{755F1ACF-391B-4A4C-A725-3D1FD073979E}"/>
    <hyperlink ref="CF23" r:id="rId21" xr:uid="{B5C4B1F8-0E45-4174-B609-B6CBB39C91D1}"/>
    <hyperlink ref="CF24" r:id="rId22" xr:uid="{8FE73712-F2A0-4077-B5F1-ABD4C22548E7}"/>
    <hyperlink ref="CF26" r:id="rId23" xr:uid="{A5DD51AB-D89D-4A88-ACAC-570304C92BC1}"/>
    <hyperlink ref="CF34" r:id="rId24" xr:uid="{B239C1F2-E7AB-4365-8AFF-2146B248791C}"/>
    <hyperlink ref="CF28" r:id="rId25" xr:uid="{F224BF73-DC0E-438C-AD3D-D1EAB9CE5B86}"/>
    <hyperlink ref="CF43" r:id="rId26" xr:uid="{C9BA9B0C-3111-4126-9D05-293991E7E127}"/>
    <hyperlink ref="CF44" r:id="rId27" xr:uid="{42D508B5-8813-4488-8AA2-09FE635F26DD}"/>
    <hyperlink ref="CF74" r:id="rId28" display="https://imgproxy.rawlplug.com/_/rt:fit/w:1296/h:736/g:ce/el:false/aHR0cHM6Ly9yYXdscGx1Zy5jb20vbWVkaWEvY2F0YWxvZy9wcm9kdWN0L2NhY2hlLzc0YzEwNTdmNzk5MWI0ZWRiMmJjN2JkYWE5NGRlOTMzL2YvMy9mM2UwZmU4MGRlYmJlNmZjMTdjODYyN2RhNTdjZGQ4MTM0ZDc2ZWZkXzg0NWI3N2JjNmI3MTllOWVmZjNlMzhhNGQ1OGY2NDFjNzFmN2NlODVfUl9QQ04xOF8yN18wMV9hX1IucHNkLndlYnA=" xr:uid="{4AECC4C4-42B7-4C8B-8356-BC827582FE58}"/>
    <hyperlink ref="CF45" r:id="rId29" xr:uid="{CF6C5235-D911-4A3F-939F-736A1990FDFD}"/>
    <hyperlink ref="CF46" r:id="rId30" xr:uid="{10787E4D-0049-4F71-92EF-A1C28C0CCC78}"/>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Arkusz1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Małgorzata Kozakowska</dc:creator>
  <cp:lastModifiedBy>K Mróz</cp:lastModifiedBy>
  <dcterms:created xsi:type="dcterms:W3CDTF">2026-05-07T06:40:57Z</dcterms:created>
  <dcterms:modified xsi:type="dcterms:W3CDTF">2026-05-26T09:48:51Z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